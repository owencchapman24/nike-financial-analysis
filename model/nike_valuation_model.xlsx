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/>
  </mc:AlternateContent>
  <xr:revisionPtr revIDLastSave="0" documentId="13_ncr:1_{E612795B-BB32-40B9-86A2-451D8584D8A4}" xr6:coauthVersionLast="47" xr6:coauthVersionMax="47" xr10:uidLastSave="{00000000-0000-0000-0000-000000000000}"/>
  <bookViews>
    <workbookView xWindow="2820" yWindow="2610" windowWidth="11820" windowHeight="10350" xr2:uid="{00000000-000D-0000-FFFF-FFFF00000000}"/>
  </bookViews>
  <sheets>
    <sheet name="Cover" sheetId="1" r:id="rId1"/>
    <sheet name="Sources" sheetId="2" r:id="rId2"/>
    <sheet name="Historical" sheetId="3" r:id="rId3"/>
    <sheet name="Scenarios" sheetId="4" r:id="rId4"/>
    <sheet name="WACC" sheetId="5" r:id="rId5"/>
    <sheet name="DCF" sheetId="6" r:id="rId6"/>
    <sheet name="Sensitivity" sheetId="7" r:id="rId7"/>
    <sheet name="Checks" sheetId="8" r:id="rId8"/>
  </sheets>
  <definedNames>
    <definedName name="ApprovedSnapshotStatus">Checks!$C$6</definedName>
    <definedName name="BaseValuePerShare">DCF!$M$26</definedName>
    <definedName name="BasicShares">Sources!$N$22</definedName>
    <definedName name="BearValuePerShare">DCF!$L$26</definedName>
    <definedName name="BullValuePerShare">DCF!$N$26</definedName>
    <definedName name="CalculatedWACC">WACC!$E$36</definedName>
    <definedName name="CarryingDebt">Sources!$D$16</definedName>
    <definedName name="CarryingDebtWACC">WACC!$J$36</definedName>
    <definedName name="CashAndShortTermInvestments">Sources!$N$24</definedName>
    <definedName name="ClassAShares">Sources!$D$10</definedName>
    <definedName name="ClassBShares">Sources!$D$11</definedName>
    <definedName name="DebtDefaultSpread">Sources!$D$21</definedName>
    <definedName name="DilutedProxyShares">Sources!$N$23</definedName>
    <definedName name="EquityRiskPremium">Sources!$D$20</definedName>
    <definedName name="FairValueDebt">Sources!$D$15</definedName>
    <definedName name="IncrementalDilutiveShares">Sources!$D$12</definedName>
    <definedName name="InformationCutoff">Sources!$N$14</definedName>
    <definedName name="MechanicalIntegrityStatus">Checks!$A$6</definedName>
    <definedName name="ModelDate">Sources!$D$7</definedName>
    <definedName name="ModelStatus">Checks!$H$6</definedName>
    <definedName name="OperatingLeaseLiabilitiesMemo">Sources!$D$18</definedName>
    <definedName name="OperatingTaxRate">Sources!$D$22</definedName>
    <definedName name="PackageBuildControlStatus">Checks!$G$6</definedName>
    <definedName name="RedeemablePreferredStock">Sources!$D$17</definedName>
    <definedName name="ReferenceMarketDate">Sources!$D$8</definedName>
    <definedName name="ReferenceMarketPrice">Sources!$D$9</definedName>
    <definedName name="RiskFreeRate">Sources!$D$19</definedName>
    <definedName name="ScenarioList">Sources!$N$7:$N$9</definedName>
    <definedName name="SelectedEnterpriseValue">DCF!$E$52</definedName>
    <definedName name="SelectedEquityValue">DCF!$E$57</definedName>
    <definedName name="SelectedScenario">Cover!$D$6</definedName>
    <definedName name="SelectedTerminalValueShare">DCF!$E$63</definedName>
    <definedName name="SelectedValuePerShare">DCF!$E$59</definedName>
    <definedName name="SensitivityCenter">Sensitivity!$F$11</definedName>
    <definedName name="TerminalGrowth">Sources!$D$30</definedName>
    <definedName name="WarningStatus">Checks!$E$6</definedName>
  </definedNames>
  <calcPr calcId="191029" calcOnSave="0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9" i="8" l="1"/>
  <c r="H199" i="8" s="1"/>
  <c r="F198" i="8"/>
  <c r="H198" i="8" s="1"/>
  <c r="F197" i="8"/>
  <c r="H197" i="8" s="1"/>
  <c r="D114" i="8"/>
  <c r="D19" i="8"/>
  <c r="D18" i="8"/>
  <c r="D17" i="8"/>
  <c r="F17" i="8" s="1"/>
  <c r="H17" i="8" s="1"/>
  <c r="D16" i="8"/>
  <c r="F16" i="8" s="1"/>
  <c r="D15" i="8"/>
  <c r="D14" i="8"/>
  <c r="D13" i="8"/>
  <c r="F13" i="8" s="1"/>
  <c r="H13" i="8" s="1"/>
  <c r="D12" i="8"/>
  <c r="F12" i="8" s="1"/>
  <c r="D11" i="8"/>
  <c r="D10" i="8"/>
  <c r="F10" i="8" s="1"/>
  <c r="H10" i="8" s="1"/>
  <c r="D9" i="8"/>
  <c r="F9" i="8" s="1"/>
  <c r="H18" i="7"/>
  <c r="H8" i="7"/>
  <c r="G8" i="7"/>
  <c r="G18" i="7" s="1"/>
  <c r="F8" i="7"/>
  <c r="F18" i="7" s="1"/>
  <c r="E8" i="7"/>
  <c r="E18" i="7" s="1"/>
  <c r="D8" i="7"/>
  <c r="D18" i="7" s="1"/>
  <c r="E65" i="6"/>
  <c r="E61" i="6"/>
  <c r="E56" i="6"/>
  <c r="E55" i="6"/>
  <c r="E54" i="6"/>
  <c r="E23" i="6"/>
  <c r="I14" i="6"/>
  <c r="D112" i="8" s="1"/>
  <c r="H14" i="6"/>
  <c r="D110" i="8" s="1"/>
  <c r="G14" i="6"/>
  <c r="D108" i="8" s="1"/>
  <c r="F14" i="6"/>
  <c r="D106" i="8" s="1"/>
  <c r="E14" i="6"/>
  <c r="D104" i="8" s="1"/>
  <c r="D14" i="6"/>
  <c r="D6" i="6"/>
  <c r="J31" i="5"/>
  <c r="E31" i="5"/>
  <c r="J29" i="5"/>
  <c r="E29" i="5"/>
  <c r="J28" i="5"/>
  <c r="E28" i="5"/>
  <c r="J26" i="5"/>
  <c r="E26" i="5"/>
  <c r="J24" i="5"/>
  <c r="E24" i="5"/>
  <c r="J21" i="5"/>
  <c r="E21" i="5"/>
  <c r="J19" i="5"/>
  <c r="E19" i="5"/>
  <c r="J18" i="5"/>
  <c r="E18" i="5"/>
  <c r="J17" i="5"/>
  <c r="E17" i="5"/>
  <c r="J16" i="5"/>
  <c r="E16" i="5"/>
  <c r="J15" i="5"/>
  <c r="E15" i="5"/>
  <c r="J14" i="5"/>
  <c r="E14" i="5"/>
  <c r="J11" i="5"/>
  <c r="E11" i="5"/>
  <c r="J10" i="5"/>
  <c r="J12" i="5" s="1"/>
  <c r="E10" i="5"/>
  <c r="E12" i="5" s="1"/>
  <c r="J9" i="5"/>
  <c r="E9" i="5"/>
  <c r="I74" i="4"/>
  <c r="H74" i="4"/>
  <c r="G74" i="4"/>
  <c r="F74" i="4"/>
  <c r="E74" i="4"/>
  <c r="I72" i="4"/>
  <c r="H72" i="4"/>
  <c r="G72" i="4"/>
  <c r="F72" i="4"/>
  <c r="E72" i="4"/>
  <c r="I70" i="4"/>
  <c r="H70" i="4"/>
  <c r="G70" i="4"/>
  <c r="F70" i="4"/>
  <c r="E70" i="4"/>
  <c r="I67" i="4"/>
  <c r="H67" i="4"/>
  <c r="G67" i="4"/>
  <c r="F67" i="4"/>
  <c r="E67" i="4"/>
  <c r="I63" i="4"/>
  <c r="H63" i="4"/>
  <c r="G63" i="4"/>
  <c r="F63" i="4"/>
  <c r="E63" i="4"/>
  <c r="I61" i="4"/>
  <c r="H61" i="4"/>
  <c r="G61" i="4"/>
  <c r="F61" i="4"/>
  <c r="E61" i="4"/>
  <c r="I59" i="4"/>
  <c r="H59" i="4"/>
  <c r="G59" i="4"/>
  <c r="F59" i="4"/>
  <c r="E59" i="4"/>
  <c r="E60" i="4" s="1"/>
  <c r="I49" i="4"/>
  <c r="D38" i="6" s="1"/>
  <c r="E38" i="6" s="1"/>
  <c r="H49" i="4"/>
  <c r="G49" i="4"/>
  <c r="F49" i="4"/>
  <c r="E49" i="4"/>
  <c r="I47" i="4"/>
  <c r="D36" i="6" s="1"/>
  <c r="E36" i="6" s="1"/>
  <c r="H47" i="4"/>
  <c r="G47" i="4"/>
  <c r="F47" i="4"/>
  <c r="E47" i="4"/>
  <c r="I45" i="4"/>
  <c r="D34" i="6" s="1"/>
  <c r="E34" i="6" s="1"/>
  <c r="H45" i="4"/>
  <c r="G45" i="4"/>
  <c r="F45" i="4"/>
  <c r="E45" i="4"/>
  <c r="I42" i="4"/>
  <c r="H42" i="4"/>
  <c r="G42" i="4"/>
  <c r="F42" i="4"/>
  <c r="E42" i="4"/>
  <c r="I38" i="4"/>
  <c r="D27" i="6" s="1"/>
  <c r="E27" i="6" s="1"/>
  <c r="H38" i="4"/>
  <c r="G38" i="4"/>
  <c r="F38" i="4"/>
  <c r="E38" i="4"/>
  <c r="I36" i="4"/>
  <c r="D25" i="6" s="1"/>
  <c r="E25" i="6" s="1"/>
  <c r="H36" i="4"/>
  <c r="G36" i="4"/>
  <c r="F36" i="4"/>
  <c r="E36" i="4"/>
  <c r="I34" i="4"/>
  <c r="D23" i="6" s="1"/>
  <c r="H34" i="4"/>
  <c r="G34" i="4"/>
  <c r="F34" i="4"/>
  <c r="E34" i="4"/>
  <c r="E35" i="4" s="1"/>
  <c r="D54" i="8" s="1"/>
  <c r="I24" i="4"/>
  <c r="H24" i="4"/>
  <c r="G24" i="4"/>
  <c r="F24" i="4"/>
  <c r="E24" i="4"/>
  <c r="I22" i="4"/>
  <c r="H22" i="4"/>
  <c r="G22" i="4"/>
  <c r="F22" i="4"/>
  <c r="E22" i="4"/>
  <c r="I20" i="4"/>
  <c r="H20" i="4"/>
  <c r="G20" i="4"/>
  <c r="F20" i="4"/>
  <c r="E20" i="4"/>
  <c r="I17" i="4"/>
  <c r="H17" i="4"/>
  <c r="G17" i="4"/>
  <c r="F17" i="4"/>
  <c r="E17" i="4"/>
  <c r="I13" i="4"/>
  <c r="H13" i="4"/>
  <c r="G13" i="4"/>
  <c r="F13" i="4"/>
  <c r="E13" i="4"/>
  <c r="I11" i="4"/>
  <c r="H11" i="4"/>
  <c r="G11" i="4"/>
  <c r="F11" i="4"/>
  <c r="E11" i="4"/>
  <c r="E10" i="4"/>
  <c r="D29" i="8" s="1"/>
  <c r="I9" i="4"/>
  <c r="H9" i="4"/>
  <c r="G9" i="4"/>
  <c r="F9" i="4"/>
  <c r="E9" i="4"/>
  <c r="H28" i="3"/>
  <c r="H27" i="3"/>
  <c r="H26" i="3"/>
  <c r="H25" i="3"/>
  <c r="H24" i="3"/>
  <c r="H23" i="3"/>
  <c r="H22" i="3"/>
  <c r="N24" i="2"/>
  <c r="E53" i="6" s="1"/>
  <c r="N22" i="2"/>
  <c r="H29" i="3" s="1"/>
  <c r="D26" i="1"/>
  <c r="D18" i="1"/>
  <c r="D10" i="1"/>
  <c r="D9" i="1"/>
  <c r="D8" i="1"/>
  <c r="E21" i="4" l="1"/>
  <c r="E32" i="5"/>
  <c r="E33" i="5" s="1"/>
  <c r="D25" i="8" s="1"/>
  <c r="J32" i="5"/>
  <c r="J33" i="5" s="1"/>
  <c r="J13" i="5"/>
  <c r="J34" i="5" s="1"/>
  <c r="E20" i="5"/>
  <c r="E22" i="5" s="1"/>
  <c r="E23" i="5"/>
  <c r="D21" i="8" s="1"/>
  <c r="J20" i="5"/>
  <c r="J22" i="5" s="1"/>
  <c r="D24" i="8"/>
  <c r="D79" i="8"/>
  <c r="E73" i="4"/>
  <c r="F60" i="4"/>
  <c r="E71" i="4"/>
  <c r="E64" i="4"/>
  <c r="E75" i="4"/>
  <c r="E62" i="4"/>
  <c r="F35" i="4"/>
  <c r="E48" i="4"/>
  <c r="F10" i="4"/>
  <c r="E23" i="4"/>
  <c r="F110" i="8"/>
  <c r="H110" i="8" s="1"/>
  <c r="H12" i="8"/>
  <c r="N23" i="2"/>
  <c r="E37" i="4"/>
  <c r="E12" i="4"/>
  <c r="E50" i="4"/>
  <c r="F112" i="8"/>
  <c r="H112" i="8" s="1"/>
  <c r="E25" i="4"/>
  <c r="E39" i="4"/>
  <c r="D31" i="6"/>
  <c r="E31" i="6" s="1"/>
  <c r="H9" i="8"/>
  <c r="E14" i="4"/>
  <c r="F19" i="8"/>
  <c r="H19" i="8"/>
  <c r="D184" i="8"/>
  <c r="H114" i="8"/>
  <c r="F29" i="8"/>
  <c r="H29" i="8" s="1"/>
  <c r="E46" i="4"/>
  <c r="F104" i="8"/>
  <c r="H104" i="8" s="1"/>
  <c r="F54" i="8"/>
  <c r="H54" i="8" s="1"/>
  <c r="F106" i="8"/>
  <c r="H106" i="8" s="1"/>
  <c r="F11" i="8"/>
  <c r="H11" i="8" s="1"/>
  <c r="H15" i="8"/>
  <c r="E13" i="5"/>
  <c r="E34" i="5" s="1"/>
  <c r="F108" i="8"/>
  <c r="H108" i="8" s="1"/>
  <c r="H16" i="8"/>
  <c r="F14" i="8"/>
  <c r="H14" i="8" s="1"/>
  <c r="F15" i="8"/>
  <c r="F18" i="8"/>
  <c r="H18" i="8" s="1"/>
  <c r="F114" i="8"/>
  <c r="E35" i="5" l="1"/>
  <c r="J35" i="5"/>
  <c r="E27" i="5"/>
  <c r="D22" i="8" s="1"/>
  <c r="J23" i="5"/>
  <c r="J27" i="5" s="1"/>
  <c r="J30" i="5" s="1"/>
  <c r="J36" i="5" s="1"/>
  <c r="D27" i="8" s="1"/>
  <c r="J25" i="5"/>
  <c r="D121" i="8"/>
  <c r="E58" i="6"/>
  <c r="H30" i="3"/>
  <c r="F24" i="8"/>
  <c r="H24" i="8" s="1"/>
  <c r="D31" i="8"/>
  <c r="E26" i="4"/>
  <c r="F25" i="8"/>
  <c r="H25" i="8" s="1"/>
  <c r="F22" i="8"/>
  <c r="H22" i="8" s="1"/>
  <c r="D81" i="8"/>
  <c r="E76" i="4"/>
  <c r="E30" i="5"/>
  <c r="D23" i="8" s="1"/>
  <c r="E25" i="5"/>
  <c r="D84" i="8"/>
  <c r="F71" i="4"/>
  <c r="F73" i="4"/>
  <c r="F64" i="4"/>
  <c r="F75" i="4"/>
  <c r="G60" i="4"/>
  <c r="F62" i="4"/>
  <c r="F21" i="8"/>
  <c r="H21" i="8" s="1"/>
  <c r="D59" i="8"/>
  <c r="F46" i="4"/>
  <c r="F39" i="4"/>
  <c r="F50" i="4"/>
  <c r="F37" i="4"/>
  <c r="F40" i="4" s="1"/>
  <c r="F48" i="4"/>
  <c r="G35" i="4"/>
  <c r="H184" i="8"/>
  <c r="F184" i="8"/>
  <c r="D56" i="8"/>
  <c r="E51" i="4"/>
  <c r="F79" i="8"/>
  <c r="H79" i="8" s="1"/>
  <c r="G6" i="8"/>
  <c r="E15" i="4"/>
  <c r="D34" i="8"/>
  <c r="F21" i="4"/>
  <c r="F14" i="4"/>
  <c r="F25" i="4"/>
  <c r="F12" i="4"/>
  <c r="F15" i="4" s="1"/>
  <c r="F23" i="4"/>
  <c r="G10" i="4"/>
  <c r="D20" i="8"/>
  <c r="E40" i="4"/>
  <c r="E65" i="4"/>
  <c r="F27" i="8" l="1"/>
  <c r="H27" i="8" s="1"/>
  <c r="F65" i="4"/>
  <c r="F23" i="8"/>
  <c r="H23" i="8" s="1"/>
  <c r="D60" i="8"/>
  <c r="F41" i="4"/>
  <c r="F43" i="4"/>
  <c r="F44" i="4" s="1"/>
  <c r="F52" i="4" s="1"/>
  <c r="D89" i="8"/>
  <c r="G71" i="4"/>
  <c r="G64" i="4"/>
  <c r="G75" i="4"/>
  <c r="G62" i="4"/>
  <c r="G65" i="4" s="1"/>
  <c r="G73" i="4"/>
  <c r="H60" i="4"/>
  <c r="D39" i="8"/>
  <c r="G14" i="4"/>
  <c r="G25" i="4"/>
  <c r="H10" i="4"/>
  <c r="G12" i="4"/>
  <c r="G23" i="4"/>
  <c r="G21" i="4"/>
  <c r="D85" i="8"/>
  <c r="F68" i="4"/>
  <c r="F69" i="4" s="1"/>
  <c r="F77" i="4" s="1"/>
  <c r="F66" i="4"/>
  <c r="D35" i="8"/>
  <c r="F16" i="4"/>
  <c r="F18" i="4"/>
  <c r="F19" i="4" s="1"/>
  <c r="D86" i="8"/>
  <c r="F76" i="4"/>
  <c r="F31" i="8"/>
  <c r="H31" i="8" s="1"/>
  <c r="D80" i="8"/>
  <c r="E66" i="4"/>
  <c r="E68" i="4"/>
  <c r="E69" i="4" s="1"/>
  <c r="E77" i="4" s="1"/>
  <c r="D36" i="8"/>
  <c r="F26" i="4"/>
  <c r="D61" i="8"/>
  <c r="F51" i="4"/>
  <c r="F81" i="8"/>
  <c r="H81" i="8" s="1"/>
  <c r="D55" i="8"/>
  <c r="E43" i="4"/>
  <c r="E44" i="4" s="1"/>
  <c r="E52" i="4" s="1"/>
  <c r="E41" i="4"/>
  <c r="F56" i="8"/>
  <c r="H56" i="8" s="1"/>
  <c r="E36" i="5"/>
  <c r="F20" i="8"/>
  <c r="H20" i="8" s="1"/>
  <c r="F34" i="8"/>
  <c r="H34" i="8" s="1"/>
  <c r="F59" i="8"/>
  <c r="H59" i="8"/>
  <c r="F121" i="8"/>
  <c r="H121" i="8" s="1"/>
  <c r="D30" i="8"/>
  <c r="E16" i="4"/>
  <c r="E18" i="4"/>
  <c r="E19" i="4" s="1"/>
  <c r="E27" i="4" s="1"/>
  <c r="F84" i="8"/>
  <c r="H84" i="8" s="1"/>
  <c r="D64" i="8"/>
  <c r="G39" i="4"/>
  <c r="G50" i="4"/>
  <c r="G37" i="4"/>
  <c r="G40" i="4" s="1"/>
  <c r="G46" i="4"/>
  <c r="G48" i="4"/>
  <c r="H35" i="4"/>
  <c r="F27" i="4" l="1"/>
  <c r="D83" i="8"/>
  <c r="D82" i="8"/>
  <c r="D38" i="8"/>
  <c r="D37" i="8"/>
  <c r="D62" i="8"/>
  <c r="D63" i="8"/>
  <c r="F13" i="6"/>
  <c r="D88" i="8"/>
  <c r="D87" i="8"/>
  <c r="D32" i="8"/>
  <c r="D33" i="8"/>
  <c r="F89" i="8"/>
  <c r="H89" i="8" s="1"/>
  <c r="F60" i="8"/>
  <c r="H60" i="8" s="1"/>
  <c r="D58" i="8"/>
  <c r="D57" i="8"/>
  <c r="E13" i="6"/>
  <c r="F36" i="8"/>
  <c r="H36" i="8" s="1"/>
  <c r="F39" i="8"/>
  <c r="H39" i="8" s="1"/>
  <c r="F55" i="8"/>
  <c r="H55" i="8" s="1"/>
  <c r="F30" i="8"/>
  <c r="H30" i="8" s="1"/>
  <c r="D90" i="8"/>
  <c r="G66" i="4"/>
  <c r="G68" i="4"/>
  <c r="G69" i="4" s="1"/>
  <c r="F80" i="8"/>
  <c r="H80" i="8" s="1"/>
  <c r="F35" i="8"/>
  <c r="H35" i="8" s="1"/>
  <c r="G15" i="4"/>
  <c r="D91" i="8"/>
  <c r="G76" i="4"/>
  <c r="F61" i="8"/>
  <c r="H61" i="8" s="1"/>
  <c r="D69" i="8"/>
  <c r="H39" i="4"/>
  <c r="H50" i="4"/>
  <c r="H37" i="4"/>
  <c r="H48" i="4"/>
  <c r="I35" i="4"/>
  <c r="H46" i="4"/>
  <c r="F86" i="8"/>
  <c r="H86" i="8" s="1"/>
  <c r="F85" i="8"/>
  <c r="H85" i="8" s="1"/>
  <c r="D94" i="8"/>
  <c r="H64" i="4"/>
  <c r="H75" i="4"/>
  <c r="H62" i="4"/>
  <c r="H71" i="4"/>
  <c r="H73" i="4"/>
  <c r="I60" i="4"/>
  <c r="D65" i="8"/>
  <c r="G41" i="4"/>
  <c r="G43" i="4"/>
  <c r="G44" i="4" s="1"/>
  <c r="D66" i="8"/>
  <c r="G51" i="4"/>
  <c r="D26" i="8"/>
  <c r="D28" i="8"/>
  <c r="C10" i="7"/>
  <c r="F15" i="6"/>
  <c r="D107" i="8" s="1"/>
  <c r="E15" i="6"/>
  <c r="D105" i="8" s="1"/>
  <c r="C11" i="7"/>
  <c r="D15" i="6"/>
  <c r="D16" i="6" s="1"/>
  <c r="D25" i="1"/>
  <c r="C12" i="7"/>
  <c r="I15" i="6"/>
  <c r="D113" i="8" s="1"/>
  <c r="C9" i="7"/>
  <c r="H15" i="6"/>
  <c r="D111" i="8" s="1"/>
  <c r="C13" i="7"/>
  <c r="G15" i="6"/>
  <c r="D109" i="8" s="1"/>
  <c r="F64" i="8"/>
  <c r="H64" i="8" s="1"/>
  <c r="D44" i="8"/>
  <c r="H25" i="4"/>
  <c r="H14" i="4"/>
  <c r="H12" i="4"/>
  <c r="H15" i="4" s="1"/>
  <c r="H23" i="4"/>
  <c r="I10" i="4"/>
  <c r="H21" i="4"/>
  <c r="D41" i="8"/>
  <c r="G26" i="4"/>
  <c r="G77" i="4" l="1"/>
  <c r="D93" i="8"/>
  <c r="D92" i="8"/>
  <c r="F63" i="8"/>
  <c r="H63" i="8" s="1"/>
  <c r="F41" i="8"/>
  <c r="H41" i="8" s="1"/>
  <c r="F26" i="8"/>
  <c r="H26" i="8" s="1"/>
  <c r="F62" i="8"/>
  <c r="H62" i="8" s="1"/>
  <c r="F28" i="8"/>
  <c r="H28" i="8" s="1"/>
  <c r="F57" i="8"/>
  <c r="H57" i="8" s="1"/>
  <c r="F69" i="8"/>
  <c r="H69" i="8" s="1"/>
  <c r="D49" i="8"/>
  <c r="I12" i="4"/>
  <c r="I23" i="4"/>
  <c r="I14" i="4"/>
  <c r="L10" i="6"/>
  <c r="I21" i="4"/>
  <c r="I25" i="4"/>
  <c r="F66" i="8"/>
  <c r="H66" i="8" s="1"/>
  <c r="H65" i="4"/>
  <c r="F33" i="8"/>
  <c r="H33" i="8" s="1"/>
  <c r="F37" i="8"/>
  <c r="H37" i="8" s="1"/>
  <c r="F109" i="8"/>
  <c r="H109" i="8" s="1"/>
  <c r="D96" i="8"/>
  <c r="H76" i="4"/>
  <c r="D74" i="8"/>
  <c r="F19" i="7"/>
  <c r="D24" i="6"/>
  <c r="E24" i="6" s="1"/>
  <c r="I39" i="4"/>
  <c r="D28" i="6" s="1"/>
  <c r="H19" i="7"/>
  <c r="I50" i="4"/>
  <c r="G19" i="7"/>
  <c r="M10" i="6"/>
  <c r="I37" i="4"/>
  <c r="E19" i="7"/>
  <c r="I48" i="4"/>
  <c r="D37" i="6" s="1"/>
  <c r="D19" i="7"/>
  <c r="I46" i="4"/>
  <c r="D35" i="6" s="1"/>
  <c r="E71" i="6"/>
  <c r="E16" i="6"/>
  <c r="F58" i="8"/>
  <c r="H58" i="8" s="1"/>
  <c r="F32" i="8"/>
  <c r="H32" i="8" s="1"/>
  <c r="F38" i="8"/>
  <c r="H38" i="8" s="1"/>
  <c r="F71" i="6"/>
  <c r="F16" i="6"/>
  <c r="D45" i="8"/>
  <c r="H16" i="4"/>
  <c r="H18" i="4"/>
  <c r="H19" i="4" s="1"/>
  <c r="H27" i="4" s="1"/>
  <c r="F111" i="8"/>
  <c r="H111" i="8" s="1"/>
  <c r="G52" i="4"/>
  <c r="F91" i="8"/>
  <c r="H91" i="8"/>
  <c r="F87" i="8"/>
  <c r="H87" i="8" s="1"/>
  <c r="F105" i="8"/>
  <c r="H105" i="8" s="1"/>
  <c r="D185" i="8"/>
  <c r="F107" i="8"/>
  <c r="H107" i="8" s="1"/>
  <c r="F94" i="8"/>
  <c r="H94" i="8" s="1"/>
  <c r="H40" i="4"/>
  <c r="D40" i="8"/>
  <c r="G16" i="4"/>
  <c r="G18" i="4"/>
  <c r="G19" i="4" s="1"/>
  <c r="G27" i="4" s="1"/>
  <c r="F90" i="8"/>
  <c r="H90" i="8" s="1"/>
  <c r="F88" i="8"/>
  <c r="H88" i="8" s="1"/>
  <c r="F82" i="8"/>
  <c r="H82" i="8" s="1"/>
  <c r="F44" i="8"/>
  <c r="H44" i="8" s="1"/>
  <c r="D99" i="8"/>
  <c r="N10" i="6"/>
  <c r="I64" i="4"/>
  <c r="I75" i="4"/>
  <c r="I62" i="4"/>
  <c r="I65" i="4" s="1"/>
  <c r="I73" i="4"/>
  <c r="I71" i="4"/>
  <c r="D46" i="8"/>
  <c r="H26" i="4"/>
  <c r="F113" i="8"/>
  <c r="H113" i="8" s="1"/>
  <c r="F65" i="8"/>
  <c r="H65" i="8" s="1"/>
  <c r="D71" i="8"/>
  <c r="H51" i="4"/>
  <c r="F83" i="8"/>
  <c r="H83" i="8" s="1"/>
  <c r="D43" i="8" l="1"/>
  <c r="D42" i="8"/>
  <c r="H25" i="7"/>
  <c r="H21" i="7"/>
  <c r="H26" i="7"/>
  <c r="H20" i="7"/>
  <c r="H27" i="7"/>
  <c r="H28" i="7" s="1"/>
  <c r="D51" i="8"/>
  <c r="I26" i="4"/>
  <c r="F92" i="8"/>
  <c r="H92" i="8" s="1"/>
  <c r="F93" i="8"/>
  <c r="H93" i="8" s="1"/>
  <c r="D116" i="8"/>
  <c r="E37" i="6"/>
  <c r="E28" i="6"/>
  <c r="E39" i="6"/>
  <c r="E35" i="6"/>
  <c r="E26" i="6"/>
  <c r="L17" i="6"/>
  <c r="L11" i="6"/>
  <c r="L16" i="6"/>
  <c r="L18" i="6"/>
  <c r="L19" i="6" s="1"/>
  <c r="L12" i="6"/>
  <c r="E20" i="7"/>
  <c r="E22" i="7" s="1"/>
  <c r="E27" i="7"/>
  <c r="E28" i="7" s="1"/>
  <c r="E25" i="7"/>
  <c r="E21" i="7"/>
  <c r="E26" i="7"/>
  <c r="F27" i="7"/>
  <c r="F28" i="7" s="1"/>
  <c r="F25" i="7"/>
  <c r="F21" i="7"/>
  <c r="F26" i="7"/>
  <c r="F20" i="7"/>
  <c r="D76" i="8"/>
  <c r="D39" i="6"/>
  <c r="I51" i="4"/>
  <c r="D40" i="6" s="1"/>
  <c r="F45" i="8"/>
  <c r="H45" i="8" s="1"/>
  <c r="F99" i="8"/>
  <c r="H99" i="8" s="1"/>
  <c r="F46" i="8"/>
  <c r="H46" i="8" s="1"/>
  <c r="F40" i="8"/>
  <c r="H40" i="8" s="1"/>
  <c r="I40" i="4"/>
  <c r="D26" i="6"/>
  <c r="F74" i="8"/>
  <c r="H74" i="8" s="1"/>
  <c r="D95" i="8"/>
  <c r="H66" i="4"/>
  <c r="H68" i="4"/>
  <c r="H69" i="4" s="1"/>
  <c r="H77" i="4" s="1"/>
  <c r="D100" i="8"/>
  <c r="I66" i="4"/>
  <c r="I68" i="4"/>
  <c r="I69" i="4" s="1"/>
  <c r="D21" i="7"/>
  <c r="D20" i="7"/>
  <c r="D22" i="7" s="1"/>
  <c r="D27" i="7"/>
  <c r="D28" i="7" s="1"/>
  <c r="D25" i="7"/>
  <c r="D26" i="7"/>
  <c r="N16" i="6"/>
  <c r="N18" i="6"/>
  <c r="N19" i="6" s="1"/>
  <c r="N12" i="6"/>
  <c r="N17" i="6"/>
  <c r="N11" i="6"/>
  <c r="D67" i="8"/>
  <c r="D68" i="8"/>
  <c r="G13" i="6"/>
  <c r="D70" i="8"/>
  <c r="H41" i="4"/>
  <c r="H43" i="4"/>
  <c r="H44" i="4" s="1"/>
  <c r="H52" i="4" s="1"/>
  <c r="E116" i="8"/>
  <c r="M11" i="6"/>
  <c r="M16" i="6"/>
  <c r="M18" i="6"/>
  <c r="M19" i="6" s="1"/>
  <c r="M12" i="6"/>
  <c r="M17" i="6"/>
  <c r="I15" i="4"/>
  <c r="D48" i="8"/>
  <c r="D47" i="8"/>
  <c r="D101" i="8"/>
  <c r="I76" i="4"/>
  <c r="H185" i="8"/>
  <c r="F185" i="8"/>
  <c r="F71" i="8"/>
  <c r="H71" i="8" s="1"/>
  <c r="G27" i="7"/>
  <c r="G28" i="7" s="1"/>
  <c r="G25" i="7"/>
  <c r="G21" i="7"/>
  <c r="G26" i="7"/>
  <c r="G20" i="7"/>
  <c r="F96" i="8"/>
  <c r="H96" i="8" s="1"/>
  <c r="F49" i="8"/>
  <c r="H49" i="8" s="1"/>
  <c r="N13" i="6" l="1"/>
  <c r="I77" i="4"/>
  <c r="G22" i="7"/>
  <c r="D72" i="8"/>
  <c r="D73" i="8"/>
  <c r="H13" i="6"/>
  <c r="D102" i="8"/>
  <c r="D103" i="8"/>
  <c r="E40" i="6"/>
  <c r="F95" i="8"/>
  <c r="H95" i="8" s="1"/>
  <c r="F70" i="8"/>
  <c r="H70" i="8" s="1"/>
  <c r="F51" i="8"/>
  <c r="H51" i="8"/>
  <c r="G30" i="7"/>
  <c r="G23" i="7"/>
  <c r="G24" i="7" s="1"/>
  <c r="G29" i="7" s="1"/>
  <c r="F76" i="8"/>
  <c r="H76" i="8" s="1"/>
  <c r="F116" i="8"/>
  <c r="H116" i="8" s="1"/>
  <c r="F42" i="8"/>
  <c r="H42" i="8" s="1"/>
  <c r="D50" i="8"/>
  <c r="I16" i="4"/>
  <c r="I18" i="4"/>
  <c r="I19" i="4" s="1"/>
  <c r="I27" i="4" s="1"/>
  <c r="N21" i="6"/>
  <c r="N14" i="6"/>
  <c r="N15" i="6" s="1"/>
  <c r="N20" i="6" s="1"/>
  <c r="D30" i="7"/>
  <c r="D23" i="7"/>
  <c r="D24" i="7" s="1"/>
  <c r="D29" i="7" s="1"/>
  <c r="D98" i="8"/>
  <c r="D97" i="8"/>
  <c r="N9" i="6"/>
  <c r="F101" i="8"/>
  <c r="H101" i="8" s="1"/>
  <c r="F47" i="8"/>
  <c r="H47" i="8" s="1"/>
  <c r="M13" i="6"/>
  <c r="G71" i="6"/>
  <c r="G16" i="6"/>
  <c r="F100" i="8"/>
  <c r="H100" i="8" s="1"/>
  <c r="F22" i="7"/>
  <c r="L13" i="6"/>
  <c r="F43" i="8"/>
  <c r="H43" i="8"/>
  <c r="F68" i="8"/>
  <c r="H68" i="8" s="1"/>
  <c r="D75" i="8"/>
  <c r="I43" i="4"/>
  <c r="D32" i="6" s="1"/>
  <c r="I44" i="4"/>
  <c r="D29" i="6"/>
  <c r="D42" i="6" s="1"/>
  <c r="I41" i="4"/>
  <c r="D30" i="6" s="1"/>
  <c r="E30" i="7"/>
  <c r="E23" i="7"/>
  <c r="E24" i="7" s="1"/>
  <c r="E29" i="7" s="1"/>
  <c r="H22" i="7"/>
  <c r="F48" i="8"/>
  <c r="H48" i="8" s="1"/>
  <c r="F67" i="8"/>
  <c r="H67" i="8" s="1"/>
  <c r="E29" i="6"/>
  <c r="D131" i="8" l="1"/>
  <c r="N22" i="6"/>
  <c r="D53" i="8"/>
  <c r="D52" i="8"/>
  <c r="L9" i="6"/>
  <c r="D33" i="6"/>
  <c r="I52" i="4"/>
  <c r="D11" i="7" s="1"/>
  <c r="F30" i="7"/>
  <c r="F23" i="7"/>
  <c r="F24" i="7" s="1"/>
  <c r="F29" i="7" s="1"/>
  <c r="F103" i="8"/>
  <c r="H103" i="8" s="1"/>
  <c r="F102" i="8"/>
  <c r="H102" i="8" s="1"/>
  <c r="L21" i="6"/>
  <c r="L14" i="6"/>
  <c r="L15" i="6" s="1"/>
  <c r="L20" i="6" s="1"/>
  <c r="F50" i="8"/>
  <c r="H50" i="8" s="1"/>
  <c r="H30" i="7"/>
  <c r="H23" i="7"/>
  <c r="H24" i="7" s="1"/>
  <c r="H29" i="7" s="1"/>
  <c r="F97" i="8"/>
  <c r="H97" i="8" s="1"/>
  <c r="F98" i="8"/>
  <c r="H98" i="8" s="1"/>
  <c r="H71" i="6"/>
  <c r="H16" i="6"/>
  <c r="M21" i="6"/>
  <c r="M14" i="6"/>
  <c r="M15" i="6" s="1"/>
  <c r="M20" i="6" s="1"/>
  <c r="F73" i="8"/>
  <c r="H73" i="8" s="1"/>
  <c r="F75" i="8"/>
  <c r="H75" i="8" s="1"/>
  <c r="E30" i="6"/>
  <c r="E42" i="6"/>
  <c r="E32" i="6"/>
  <c r="E33" i="6" s="1"/>
  <c r="E41" i="6" s="1"/>
  <c r="F72" i="8"/>
  <c r="H72" i="8" s="1"/>
  <c r="G11" i="7" l="1"/>
  <c r="G12" i="7"/>
  <c r="G13" i="7"/>
  <c r="E11" i="7"/>
  <c r="D156" i="8" s="1"/>
  <c r="E13" i="7"/>
  <c r="E9" i="7"/>
  <c r="E10" i="7"/>
  <c r="D12" i="7"/>
  <c r="D164" i="8" s="1"/>
  <c r="G9" i="7"/>
  <c r="D139" i="8" s="1"/>
  <c r="G10" i="7"/>
  <c r="D149" i="8" s="1"/>
  <c r="D13" i="7"/>
  <c r="D174" i="8" s="1"/>
  <c r="H12" i="7"/>
  <c r="H10" i="7"/>
  <c r="H13" i="7"/>
  <c r="H11" i="7"/>
  <c r="H9" i="7"/>
  <c r="D154" i="8"/>
  <c r="D153" i="8"/>
  <c r="F9" i="7"/>
  <c r="F11" i="7"/>
  <c r="F10" i="7"/>
  <c r="F12" i="7"/>
  <c r="F13" i="7"/>
  <c r="E117" i="8"/>
  <c r="D128" i="8"/>
  <c r="M22" i="6"/>
  <c r="D150" i="8"/>
  <c r="D136" i="8"/>
  <c r="D135" i="8"/>
  <c r="D145" i="8"/>
  <c r="D146" i="8"/>
  <c r="F53" i="8"/>
  <c r="H53" i="8" s="1"/>
  <c r="D175" i="8"/>
  <c r="D176" i="8"/>
  <c r="N23" i="6"/>
  <c r="N30" i="6"/>
  <c r="D190" i="8"/>
  <c r="D173" i="8"/>
  <c r="F52" i="8"/>
  <c r="H52" i="8" s="1"/>
  <c r="D170" i="8"/>
  <c r="D169" i="8"/>
  <c r="F131" i="8"/>
  <c r="H131" i="8" s="1"/>
  <c r="D10" i="7"/>
  <c r="D159" i="8"/>
  <c r="D160" i="8"/>
  <c r="D155" i="8"/>
  <c r="D125" i="8"/>
  <c r="L22" i="6"/>
  <c r="D117" i="8"/>
  <c r="E45" i="6"/>
  <c r="D180" i="8"/>
  <c r="D179" i="8"/>
  <c r="D78" i="8"/>
  <c r="D77" i="8"/>
  <c r="D41" i="6"/>
  <c r="I13" i="6"/>
  <c r="E171" i="8"/>
  <c r="E157" i="8"/>
  <c r="E155" i="8"/>
  <c r="E145" i="8"/>
  <c r="E149" i="8"/>
  <c r="E167" i="8"/>
  <c r="E181" i="8"/>
  <c r="E151" i="8"/>
  <c r="E147" i="8"/>
  <c r="E169" i="8"/>
  <c r="E163" i="8"/>
  <c r="E153" i="8"/>
  <c r="M9" i="6"/>
  <c r="E135" i="8"/>
  <c r="E173" i="8"/>
  <c r="E177" i="8"/>
  <c r="E143" i="8"/>
  <c r="E139" i="8"/>
  <c r="E137" i="8"/>
  <c r="E179" i="8"/>
  <c r="E175" i="8"/>
  <c r="E141" i="8"/>
  <c r="E161" i="8"/>
  <c r="E165" i="8"/>
  <c r="E133" i="8"/>
  <c r="E159" i="8"/>
  <c r="E12" i="7"/>
  <c r="D9" i="7"/>
  <c r="D189" i="8" l="1"/>
  <c r="D163" i="8"/>
  <c r="D194" i="8"/>
  <c r="D140" i="8"/>
  <c r="D188" i="8"/>
  <c r="H188" i="8" s="1"/>
  <c r="F189" i="8"/>
  <c r="H189" i="8"/>
  <c r="F188" i="8"/>
  <c r="F180" i="8"/>
  <c r="H180" i="8" s="1"/>
  <c r="F159" i="8"/>
  <c r="H159" i="8" s="1"/>
  <c r="F174" i="8"/>
  <c r="H174" i="8" s="1"/>
  <c r="F139" i="8"/>
  <c r="H139" i="8" s="1"/>
  <c r="F128" i="8"/>
  <c r="H128" i="8" s="1"/>
  <c r="F179" i="8"/>
  <c r="H179" i="8" s="1"/>
  <c r="F160" i="8"/>
  <c r="H160" i="8" s="1"/>
  <c r="F163" i="8"/>
  <c r="H163" i="8" s="1"/>
  <c r="D118" i="8"/>
  <c r="E46" i="6"/>
  <c r="E51" i="6" s="1"/>
  <c r="E64" i="6"/>
  <c r="D187" i="8"/>
  <c r="D143" i="8"/>
  <c r="D144" i="8"/>
  <c r="F173" i="8"/>
  <c r="H173" i="8" s="1"/>
  <c r="F164" i="8"/>
  <c r="H164" i="8" s="1"/>
  <c r="F135" i="8"/>
  <c r="H135" i="8" s="1"/>
  <c r="F154" i="8"/>
  <c r="H154" i="8" s="1"/>
  <c r="F194" i="8"/>
  <c r="H194" i="8"/>
  <c r="F153" i="8"/>
  <c r="H153" i="8" s="1"/>
  <c r="F117" i="8"/>
  <c r="H117" i="8"/>
  <c r="F190" i="8"/>
  <c r="H190" i="8"/>
  <c r="F136" i="8"/>
  <c r="H136" i="8" s="1"/>
  <c r="D177" i="8"/>
  <c r="D178" i="8"/>
  <c r="D195" i="8"/>
  <c r="D141" i="8"/>
  <c r="D142" i="8"/>
  <c r="D166" i="8"/>
  <c r="D165" i="8"/>
  <c r="E118" i="8"/>
  <c r="M23" i="6"/>
  <c r="M30" i="6"/>
  <c r="I71" i="6"/>
  <c r="E67" i="6" s="1"/>
  <c r="I16" i="6"/>
  <c r="L30" i="6"/>
  <c r="L23" i="6"/>
  <c r="D192" i="8"/>
  <c r="D168" i="8"/>
  <c r="D167" i="8"/>
  <c r="D161" i="8"/>
  <c r="D162" i="8"/>
  <c r="F125" i="8"/>
  <c r="H125" i="8" s="1"/>
  <c r="F169" i="8"/>
  <c r="H169" i="8" s="1"/>
  <c r="N24" i="6"/>
  <c r="F146" i="8"/>
  <c r="H146" i="8" s="1"/>
  <c r="D148" i="8"/>
  <c r="D147" i="8"/>
  <c r="D182" i="8"/>
  <c r="D181" i="8"/>
  <c r="F77" i="8"/>
  <c r="H77" i="8" s="1"/>
  <c r="F156" i="8"/>
  <c r="H156" i="8" s="1"/>
  <c r="F170" i="8"/>
  <c r="H170" i="8" s="1"/>
  <c r="F176" i="8"/>
  <c r="H176" i="8" s="1"/>
  <c r="F145" i="8"/>
  <c r="H145" i="8" s="1"/>
  <c r="F149" i="8"/>
  <c r="H149" i="8" s="1"/>
  <c r="D157" i="8"/>
  <c r="D158" i="8"/>
  <c r="D183" i="8"/>
  <c r="D152" i="8"/>
  <c r="D151" i="8"/>
  <c r="D134" i="8"/>
  <c r="D186" i="8"/>
  <c r="D191" i="8"/>
  <c r="D133" i="8"/>
  <c r="F78" i="8"/>
  <c r="H78" i="8" s="1"/>
  <c r="F155" i="8"/>
  <c r="H155" i="8" s="1"/>
  <c r="F175" i="8"/>
  <c r="H175" i="8" s="1"/>
  <c r="F140" i="8"/>
  <c r="H140" i="8" s="1"/>
  <c r="F150" i="8"/>
  <c r="H150" i="8" s="1"/>
  <c r="D138" i="8"/>
  <c r="D193" i="8"/>
  <c r="D137" i="8"/>
  <c r="D171" i="8"/>
  <c r="D172" i="8"/>
  <c r="F161" i="8" l="1"/>
  <c r="H161" i="8" s="1"/>
  <c r="F187" i="8"/>
  <c r="H187" i="8"/>
  <c r="F195" i="8"/>
  <c r="H195" i="8"/>
  <c r="F137" i="8"/>
  <c r="H137" i="8" s="1"/>
  <c r="M29" i="6"/>
  <c r="D201" i="8" s="1"/>
  <c r="H201" i="8" s="1"/>
  <c r="F177" i="8"/>
  <c r="H177" i="8" s="1"/>
  <c r="F118" i="8"/>
  <c r="H118" i="8" s="1"/>
  <c r="F171" i="8"/>
  <c r="H171" i="8" s="1"/>
  <c r="M24" i="6"/>
  <c r="F172" i="8"/>
  <c r="H172" i="8" s="1"/>
  <c r="I18" i="6"/>
  <c r="E50" i="6" s="1"/>
  <c r="E52" i="6" s="1"/>
  <c r="E63" i="6" s="1"/>
  <c r="D27" i="1" s="1"/>
  <c r="F151" i="8"/>
  <c r="H151" i="8" s="1"/>
  <c r="F181" i="8"/>
  <c r="H181" i="8" s="1"/>
  <c r="F192" i="8"/>
  <c r="H192" i="8"/>
  <c r="F165" i="8"/>
  <c r="H165" i="8" s="1"/>
  <c r="F178" i="8"/>
  <c r="H178" i="8" s="1"/>
  <c r="D130" i="8"/>
  <c r="N25" i="6"/>
  <c r="F167" i="8"/>
  <c r="H167" i="8" s="1"/>
  <c r="F152" i="8"/>
  <c r="H152" i="8" s="1"/>
  <c r="N29" i="6"/>
  <c r="D202" i="8" s="1"/>
  <c r="H202" i="8" s="1"/>
  <c r="F168" i="8"/>
  <c r="H168" i="8" s="1"/>
  <c r="L24" i="6"/>
  <c r="F166" i="8"/>
  <c r="H166" i="8"/>
  <c r="F191" i="8"/>
  <c r="H191" i="8"/>
  <c r="F148" i="8"/>
  <c r="H148" i="8" s="1"/>
  <c r="F141" i="8"/>
  <c r="H141" i="8" s="1"/>
  <c r="F186" i="8"/>
  <c r="H186" i="8"/>
  <c r="F162" i="8"/>
  <c r="H162" i="8" s="1"/>
  <c r="F134" i="8"/>
  <c r="H134" i="8"/>
  <c r="F193" i="8"/>
  <c r="H193" i="8"/>
  <c r="F138" i="8"/>
  <c r="H138" i="8" s="1"/>
  <c r="F158" i="8"/>
  <c r="H158" i="8" s="1"/>
  <c r="F182" i="8"/>
  <c r="H182" i="8"/>
  <c r="F144" i="8"/>
  <c r="H144" i="8" s="1"/>
  <c r="F133" i="8"/>
  <c r="H133" i="8" s="1"/>
  <c r="F157" i="8"/>
  <c r="H157" i="8" s="1"/>
  <c r="F147" i="8"/>
  <c r="H147" i="8" s="1"/>
  <c r="F142" i="8"/>
  <c r="H142" i="8" s="1"/>
  <c r="F143" i="8"/>
  <c r="H143" i="8"/>
  <c r="D119" i="8" l="1"/>
  <c r="E68" i="6"/>
  <c r="E69" i="6" s="1"/>
  <c r="D115" i="8" s="1"/>
  <c r="E57" i="6"/>
  <c r="D22" i="1"/>
  <c r="F130" i="8"/>
  <c r="H130" i="8" s="1"/>
  <c r="N26" i="6"/>
  <c r="N27" i="6"/>
  <c r="D124" i="8"/>
  <c r="L25" i="6"/>
  <c r="L29" i="6"/>
  <c r="D200" i="8" s="1"/>
  <c r="H200" i="8" s="1"/>
  <c r="E119" i="8"/>
  <c r="D127" i="8"/>
  <c r="M25" i="6"/>
  <c r="E120" i="8" l="1"/>
  <c r="M26" i="6"/>
  <c r="M27" i="6"/>
  <c r="E122" i="8" s="1"/>
  <c r="F127" i="8"/>
  <c r="H127" i="8" s="1"/>
  <c r="D129" i="8"/>
  <c r="N28" i="6"/>
  <c r="D17" i="1"/>
  <c r="D120" i="8"/>
  <c r="E60" i="6"/>
  <c r="D122" i="8" s="1"/>
  <c r="E59" i="6"/>
  <c r="D23" i="1"/>
  <c r="L26" i="6"/>
  <c r="L27" i="6"/>
  <c r="F115" i="8"/>
  <c r="H115" i="8" s="1"/>
  <c r="F124" i="8"/>
  <c r="H124" i="8" s="1"/>
  <c r="F119" i="8"/>
  <c r="H119" i="8" s="1"/>
  <c r="F129" i="8" l="1"/>
  <c r="H129" i="8"/>
  <c r="D126" i="8"/>
  <c r="E183" i="8"/>
  <c r="M28" i="6"/>
  <c r="D16" i="1"/>
  <c r="D132" i="8"/>
  <c r="D123" i="8"/>
  <c r="L28" i="6"/>
  <c r="D15" i="1"/>
  <c r="D24" i="1"/>
  <c r="E62" i="6"/>
  <c r="F122" i="8"/>
  <c r="H122" i="8" s="1"/>
  <c r="F120" i="8"/>
  <c r="H120" i="8" s="1"/>
  <c r="D196" i="8" l="1"/>
  <c r="F132" i="8"/>
  <c r="H132" i="8" s="1"/>
  <c r="F183" i="8"/>
  <c r="H183" i="8"/>
  <c r="E6" i="8" s="1"/>
  <c r="F123" i="8"/>
  <c r="H123" i="8" s="1"/>
  <c r="C6" i="8" s="1"/>
  <c r="F126" i="8"/>
  <c r="H126" i="8" s="1"/>
  <c r="F196" i="8" l="1"/>
  <c r="H196" i="8" s="1"/>
  <c r="A6" i="8" s="1"/>
  <c r="H6" i="8" s="1"/>
  <c r="D28" i="1" s="1"/>
</calcChain>
</file>

<file path=xl/sharedStrings.xml><?xml version="1.0" encoding="utf-8"?>
<sst xmlns="http://schemas.openxmlformats.org/spreadsheetml/2006/main" count="2877" uniqueCount="1059">
  <si>
    <t>Sources and assumptions</t>
  </si>
  <si>
    <t>Embedded local inputs; no external workbook links or live data connections</t>
  </si>
  <si>
    <t>Assumption Id</t>
  </si>
  <si>
    <t>Category</t>
  </si>
  <si>
    <t>Input Name</t>
  </si>
  <si>
    <t>Value</t>
  </si>
  <si>
    <t>Unit</t>
  </si>
  <si>
    <t>Observation Date</t>
  </si>
  <si>
    <t>Source Ids</t>
  </si>
  <si>
    <t>Source Type</t>
  </si>
  <si>
    <t>Owner Status</t>
  </si>
  <si>
    <t>Notes</t>
  </si>
  <si>
    <t>VA01</t>
  </si>
  <si>
    <t>model_timing</t>
  </si>
  <si>
    <t>model_date</t>
  </si>
  <si>
    <t>date</t>
  </si>
  <si>
    <t>VS04;VS09</t>
  </si>
  <si>
    <t>approved_methodology</t>
  </si>
  <si>
    <t>approved</t>
  </si>
  <si>
    <t>DCF valuation and discount-anchor date aligned with the reference market date.</t>
  </si>
  <si>
    <t>VA02</t>
  </si>
  <si>
    <t>market</t>
  </si>
  <si>
    <t>reference_market_date</t>
  </si>
  <si>
    <t>VS04;VS05;VS09</t>
  </si>
  <si>
    <t>reported_market_input</t>
  </si>
  <si>
    <t>Reference market date and DCF valuation date; the latest reported balance sheet remains May 31 2026.</t>
  </si>
  <si>
    <t>VA03</t>
  </si>
  <si>
    <t>reference_market_price</t>
  </si>
  <si>
    <t>USD per share</t>
  </si>
  <si>
    <t>VS05</t>
  </si>
  <si>
    <t>NKE Class B closing price.</t>
  </si>
  <si>
    <t>VA04</t>
  </si>
  <si>
    <t>shares</t>
  </si>
  <si>
    <t>class_a_shares_outstanding</t>
  </si>
  <si>
    <t>millions</t>
  </si>
  <si>
    <t>VS02</t>
  </si>
  <si>
    <t>reported_filing_input</t>
  </si>
  <si>
    <t>Economically participates with Class B and converts one-for-one.</t>
  </si>
  <si>
    <t>VA05</t>
  </si>
  <si>
    <t>class_b_shares_outstanding</t>
  </si>
  <si>
    <t>NKE publicly traded share class.</t>
  </si>
  <si>
    <t>VA06</t>
  </si>
  <si>
    <t>incremental_dilutive_share_proxy</t>
  </si>
  <si>
    <t>VS02;VS09</t>
  </si>
  <si>
    <t>reported_proxy</t>
  </si>
  <si>
    <t>FY2026 weighted-average incremental dilutive awards; not a point-in-time treasury-stock calculation.</t>
  </si>
  <si>
    <t>VA07</t>
  </si>
  <si>
    <t>equity_bridge</t>
  </si>
  <si>
    <t>cash_and_cash_equivalents</t>
  </si>
  <si>
    <t>USD millions</t>
  </si>
  <si>
    <t>VS01;VS02</t>
  </si>
  <si>
    <t>Added because FCFF values operating assets and excludes interest income.</t>
  </si>
  <si>
    <t>VA08</t>
  </si>
  <si>
    <t>short_term_investments</t>
  </si>
  <si>
    <t>Added with cash; no unsupported minimum-cash deduction.</t>
  </si>
  <si>
    <t>VA09</t>
  </si>
  <si>
    <t>debt</t>
  </si>
  <si>
    <t>fair_value_debt</t>
  </si>
  <si>
    <t>Approximate disclosed fair value used for primary WACC capital weighting.</t>
  </si>
  <si>
    <t>VA10</t>
  </si>
  <si>
    <t>carrying_interest_bearing_debt</t>
  </si>
  <si>
    <t>VS01;VS02;VS09</t>
  </si>
  <si>
    <t>Used in the primary enterprise-to-equity bridge and WACC cross-check.</t>
  </si>
  <si>
    <t>VA11</t>
  </si>
  <si>
    <t>redeemable_preferred_stock</t>
  </si>
  <si>
    <t>Explicit bridge deduction even though it rounds to zero in whole USD millions.</t>
  </si>
  <si>
    <t>VA12</t>
  </si>
  <si>
    <t>memorandum</t>
  </si>
  <si>
    <t>operating_lease_liabilities</t>
  </si>
  <si>
    <t>Shown separately and not deducted under the approved operating lease convention.</t>
  </si>
  <si>
    <t>VA13</t>
  </si>
  <si>
    <t>wacc</t>
  </si>
  <si>
    <t>risk_free_rate</t>
  </si>
  <si>
    <t>decimal</t>
  </si>
  <si>
    <t>VS03</t>
  </si>
  <si>
    <t>Ten-year nominal Treasury constant-maturity rate.</t>
  </si>
  <si>
    <t>VA14</t>
  </si>
  <si>
    <t>equity_risk_premium</t>
  </si>
  <si>
    <t>VS06</t>
  </si>
  <si>
    <t>Implied US ERP using an unadjusted Treasury risk-free convention.</t>
  </si>
  <si>
    <t>VA15</t>
  </si>
  <si>
    <t>debt_default_spread</t>
  </si>
  <si>
    <t>VS02;VS08</t>
  </si>
  <si>
    <t>market_proxy</t>
  </si>
  <si>
    <t>Conservative A2/A spread for Nike's A+ and A2 disclosed ratings.</t>
  </si>
  <si>
    <t>VA16</t>
  </si>
  <si>
    <t>operating_tax_rate</t>
  </si>
  <si>
    <t>VS01;VS09</t>
  </si>
  <si>
    <t>Approved Phase 4 normalized operating tax rate.</t>
  </si>
  <si>
    <t>VA17</t>
  </si>
  <si>
    <t>bottom_up_beta</t>
  </si>
  <si>
    <t>footwear_revenue</t>
  </si>
  <si>
    <t>Nike Brand and Converse footwear revenue.</t>
  </si>
  <si>
    <t>VA18</t>
  </si>
  <si>
    <t>apparel_revenue</t>
  </si>
  <si>
    <t>Nike Brand and Converse apparel revenue.</t>
  </si>
  <si>
    <t>VA19</t>
  </si>
  <si>
    <t>equipment_revenue</t>
  </si>
  <si>
    <t>Nike Brand and Converse equipment revenue.</t>
  </si>
  <si>
    <t>VA20</t>
  </si>
  <si>
    <t>other_revenue</t>
  </si>
  <si>
    <t>Licensing; Converse other; and corporate residual reconciles product categories to revenue.</t>
  </si>
  <si>
    <t>VA21</t>
  </si>
  <si>
    <t>footwear_unlevered_beta</t>
  </si>
  <si>
    <t>VS07</t>
  </si>
  <si>
    <t>Damodaran cash-corrected Shoe sector unlevered beta.</t>
  </si>
  <si>
    <t>VA22</t>
  </si>
  <si>
    <t>apparel_unlevered_beta</t>
  </si>
  <si>
    <t>Damodaran cash-corrected Apparel sector unlevered beta.</t>
  </si>
  <si>
    <t>VA23</t>
  </si>
  <si>
    <t>equipment_unlevered_beta</t>
  </si>
  <si>
    <t>Damodaran cash-corrected Recreation sector unlevered beta.</t>
  </si>
  <si>
    <t>VA24</t>
  </si>
  <si>
    <t>terminal_value</t>
  </si>
  <si>
    <t>terminal_growth_rate</t>
  </si>
  <si>
    <t>VS09;VS10;VS11</t>
  </si>
  <si>
    <t>Common perpetual growth rate for Bear; Base; and Bull headline valuations.</t>
  </si>
  <si>
    <t>VA25</t>
  </si>
  <si>
    <t>sensitivity</t>
  </si>
  <si>
    <t>sensitivity_wacc_delta_minus_100bp</t>
  </si>
  <si>
    <t>VS09</t>
  </si>
  <si>
    <t>Applied to the exact formula-derived WACC.</t>
  </si>
  <si>
    <t>VA26</t>
  </si>
  <si>
    <t>sensitivity_wacc_delta_minus_50bp</t>
  </si>
  <si>
    <t>VA27</t>
  </si>
  <si>
    <t>sensitivity_wacc_delta_center</t>
  </si>
  <si>
    <t>Center row equals the exact formula-derived WACC.</t>
  </si>
  <si>
    <t>VA28</t>
  </si>
  <si>
    <t>sensitivity_wacc_delta_plus_50bp</t>
  </si>
  <si>
    <t>VA29</t>
  </si>
  <si>
    <t>sensitivity_wacc_delta_plus_100bp</t>
  </si>
  <si>
    <t>VA30</t>
  </si>
  <si>
    <t>sensitivity_terminal_growth_150bp</t>
  </si>
  <si>
    <t>Direct-growth sensitivity column.</t>
  </si>
  <si>
    <t>VA31</t>
  </si>
  <si>
    <t>sensitivity_terminal_growth_200bp</t>
  </si>
  <si>
    <t>VA32</t>
  </si>
  <si>
    <t>sensitivity_terminal_growth_250bp</t>
  </si>
  <si>
    <t>Center column equals the common headline terminal growth rate.</t>
  </si>
  <si>
    <t>VA33</t>
  </si>
  <si>
    <t>sensitivity_terminal_growth_300bp</t>
  </si>
  <si>
    <t>VA34</t>
  </si>
  <si>
    <t>sensitivity_terminal_growth_350bp</t>
  </si>
  <si>
    <t>Source Id</t>
  </si>
  <si>
    <t>Title</t>
  </si>
  <si>
    <t>Publisher</t>
  </si>
  <si>
    <t>Publication Date</t>
  </si>
  <si>
    <t>Information Cutoff</t>
  </si>
  <si>
    <t>Url Or Accession</t>
  </si>
  <si>
    <t>Fields Supported</t>
  </si>
  <si>
    <t>Retrieval Date</t>
  </si>
  <si>
    <t>VS01</t>
  </si>
  <si>
    <t>project_data</t>
  </si>
  <si>
    <t>Committed Phase 4 scenario forecast</t>
  </si>
  <si>
    <t>Independent project</t>
  </si>
  <si>
    <t>committed_project_data</t>
  </si>
  <si>
    <t>outputs/tables/scenario_forecast_long.csv</t>
  </si>
  <si>
    <t>FY2027-FY2031 operating forecasts and FCFF</t>
  </si>
  <si>
    <t>Protected full-precision project output; no network access required.</t>
  </si>
  <si>
    <t>company_filing</t>
  </si>
  <si>
    <t>Fiscal 2026 Form 10-K</t>
  </si>
  <si>
    <t>NIKE Inc.</t>
  </si>
  <si>
    <t>official_sec_filing</t>
  </si>
  <si>
    <t>https://www.sec.gov/Archives/edgar/data/320187/000032018726000088/nke-20260531.htm</t>
  </si>
  <si>
    <t>Shares; product revenue; cash; investments; debt; leases; preferred stock; ratings; and awards</t>
  </si>
  <si>
    <t>Share count observation is July 8 2026 where specifically noted.</t>
  </si>
  <si>
    <t>market_rate</t>
  </si>
  <si>
    <t>Daily Treasury par yield curve rates</t>
  </si>
  <si>
    <t>U.S. Department of the Treasury</t>
  </si>
  <si>
    <t>official_government_data</t>
  </si>
  <si>
    <t>https://home.treasury.gov/resource-center/data-chart-center/interest-rates/TextView?field_tdr_date_value=2026&amp;type=daily_treasury_yield_curve</t>
  </si>
  <si>
    <t>Ten-year nominal Treasury constant-maturity rate</t>
  </si>
  <si>
    <t>September 4 2026 ten-year rate is 4.78%.</t>
  </si>
  <si>
    <t>VS04</t>
  </si>
  <si>
    <t>market_calendar</t>
  </si>
  <si>
    <t>Holidays and trading hours</t>
  </si>
  <si>
    <t>New York Stock Exchange</t>
  </si>
  <si>
    <t>official_exchange_calendar</t>
  </si>
  <si>
    <t>https://www.nyse.com/trade/hours-calendars</t>
  </si>
  <si>
    <t>September 7 2026 market holiday and September 4 valuation date</t>
  </si>
  <si>
    <t>Establishes September 4 as the last trading date before the cutoff and the DCF discount anchor.</t>
  </si>
  <si>
    <t>market_price</t>
  </si>
  <si>
    <t>Nike Inc. Cl B historical prices</t>
  </si>
  <si>
    <t>The Wall Street Journal</t>
  </si>
  <si>
    <t>reputable_historical_price</t>
  </si>
  <si>
    <t>https://www.wsj.com/market-data/quotes/NKE/historical-prices</t>
  </si>
  <si>
    <t>NKE September 4 2026 closing price</t>
  </si>
  <si>
    <t>Closing price is USD 38.40; reference comparison only.</t>
  </si>
  <si>
    <t>equity_risk</t>
  </si>
  <si>
    <t>Implied equity risk premium update</t>
  </si>
  <si>
    <t>Aswath Damodaran / NYU Stern</t>
  </si>
  <si>
    <t>valuation_dataset</t>
  </si>
  <si>
    <t>https://pages.stern.nyu.edu/~adamodar/New_Home_Page/home.htm</t>
  </si>
  <si>
    <t>Implied US equity risk premium</t>
  </si>
  <si>
    <t>Trailing-twelve-month adjusted-payout ERP is 4.14% using an unadjusted Treasury rate.</t>
  </si>
  <si>
    <t>Betas by sector US</t>
  </si>
  <si>
    <t>https://pages.stern.nyu.edu/~adamodar/New_Home_Page/datafile/Betas.html</t>
  </si>
  <si>
    <t>Cash-corrected unlevered betas for Shoe; Apparel; and Recreation</t>
  </si>
  <si>
    <t>Used with Nike's disclosed FY2026 product mix.</t>
  </si>
  <si>
    <t>VS08</t>
  </si>
  <si>
    <t>debt_spread</t>
  </si>
  <si>
    <t>Ratings interest coverage ratios and default spreads</t>
  </si>
  <si>
    <t>https://pages.stern.nyu.edu/~adamodar/New_Home_Page/datafile/ratings.html</t>
  </si>
  <si>
    <t>A2/A default spread</t>
  </si>
  <si>
    <t>0.78% spread added to the nominal risk-free rate.</t>
  </si>
  <si>
    <t>owner_decision</t>
  </si>
  <si>
    <t>Phase 5A valuation methodology approval</t>
  </si>
  <si>
    <t>Project owner</t>
  </si>
  <si>
    <t>docs/decision_log.md</t>
  </si>
  <si>
    <t>Timing; WACC; terminal growth; equity bridge; dilution; and sensitivity decisions</t>
  </si>
  <si>
    <t>Owner decision date does not introduce post-cutoff company or market information.</t>
  </si>
  <si>
    <t>VS10</t>
  </si>
  <si>
    <t>calculation_method</t>
  </si>
  <si>
    <t>XNPV function</t>
  </si>
  <si>
    <t>Microsoft</t>
  </si>
  <si>
    <t>official_software_documentation</t>
  </si>
  <si>
    <t>https://support.microsoft.com/en-us/excel/functions/xnpv-function</t>
  </si>
  <si>
    <t>Exact date discounting using a 365-day convention</t>
  </si>
  <si>
    <t>Python reproduces the same explicit date-exponent method without invoking Excel.</t>
  </si>
  <si>
    <t>VS11</t>
  </si>
  <si>
    <t>terminal_context</t>
  </si>
  <si>
    <t>Longer-run inflation and real potential growth context</t>
  </si>
  <si>
    <t>Federal Reserve and Congressional Budget Office</t>
  </si>
  <si>
    <t>official_government_context</t>
  </si>
  <si>
    <t>https://www.federalreserve.gov/faqs/economy_14400.htm; https://www.cbo.gov/publication/62105</t>
  </si>
  <si>
    <t>Reasonableness context for 2.5% perpetual growth</t>
  </si>
  <si>
    <t>Terminal growth remains below the approximate long-run nominal economic-growth anchor.</t>
  </si>
  <si>
    <t>Scenario</t>
  </si>
  <si>
    <t>Fiscal Year</t>
  </si>
  <si>
    <t>Driver</t>
  </si>
  <si>
    <t>Historical Anchor</t>
  </si>
  <si>
    <t>Rationale</t>
  </si>
  <si>
    <t>base</t>
  </si>
  <si>
    <t>FY2027</t>
  </si>
  <si>
    <t>revenue_growth</t>
  </si>
  <si>
    <t>FY2026 revenue USD 46398m and 0.2% growth</t>
  </si>
  <si>
    <t>Near-term pressure followed by partial second-half improvement</t>
  </si>
  <si>
    <t>FS04</t>
  </si>
  <si>
    <t>analyst_assumption</t>
  </si>
  <si>
    <t>deterioration</t>
  </si>
  <si>
    <t>gross_margin</t>
  </si>
  <si>
    <t>FY2026 reported 42.9%</t>
  </si>
  <si>
    <t>Modest decline from reported margin while underlying operations begin to recover</t>
  </si>
  <si>
    <t>FS03</t>
  </si>
  <si>
    <t>sga_percent_revenue</t>
  </si>
  <si>
    <t>FY2026 34.7%</t>
  </si>
  <si>
    <t>Cost rigidity and investment raise the ratio on lower revenue</t>
  </si>
  <si>
    <t>normalized_tax_rate</t>
  </si>
  <si>
    <t>FY2026 20.3% and FY2027 low-20% outlook</t>
  </si>
  <si>
    <t>Transparent normalized operating tax rate</t>
  </si>
  <si>
    <t>constant across scenarios</t>
  </si>
  <si>
    <t>da_percent_revenue</t>
  </si>
  <si>
    <t>Five-year median 1.55%</t>
  </si>
  <si>
    <t>Rounded stable historical anchor</t>
  </si>
  <si>
    <t>FS01</t>
  </si>
  <si>
    <t>stabilization</t>
  </si>
  <si>
    <t>capex_percent_revenue</t>
  </si>
  <si>
    <t>Five-year average 1.50%</t>
  </si>
  <si>
    <t>Maintains reinvestment during near-term pressure</t>
  </si>
  <si>
    <t>operating_nwc_percent_revenue</t>
  </si>
  <si>
    <t>FY2026 11.87% including tariff receivable</t>
  </si>
  <si>
    <t>Partial normalization without separately adding subsequent collection</t>
  </si>
  <si>
    <t>normalization</t>
  </si>
  <si>
    <t>FY2028</t>
  </si>
  <si>
    <t>FY2022-FY2026 growth range -9.8% to 9.6%</t>
  </si>
  <si>
    <t>Measured recovery after FY2027 pressure</t>
  </si>
  <si>
    <t>Five-year median 43.52%</t>
  </si>
  <si>
    <t>Gradual improvement without returning immediately to peak</t>
  </si>
  <si>
    <t>recovery</t>
  </si>
  <si>
    <t>Three-year median 34.73%</t>
  </si>
  <si>
    <t>Early operating leverage as revenue stabilizes</t>
  </si>
  <si>
    <t>FY2027 low-20% company outlook</t>
  </si>
  <si>
    <t>No unsupported scenario tax mix</t>
  </si>
  <si>
    <t>Three-year average 1.61%</t>
  </si>
  <si>
    <t>Stable asset-consumption proxy</t>
  </si>
  <si>
    <t>Five-year median 1.58%</t>
  </si>
  <si>
    <t>Reinvestment rises with recovery</t>
  </si>
  <si>
    <t>Five-year average 10.54%</t>
  </si>
  <si>
    <t>Continued gradual normalization</t>
  </si>
  <si>
    <t>FY2029</t>
  </si>
  <si>
    <t>FY2024 revenue peak USD 51362m</t>
  </si>
  <si>
    <t>Recovery broadens but remains consolidated analyst judgment</t>
  </si>
  <si>
    <t>Five-year average 43.94%</t>
  </si>
  <si>
    <t>Returns near historical average</t>
  </si>
  <si>
    <t>Five-year average 33.08%</t>
  </si>
  <si>
    <t>Moderate operating leverage with absolute spending growth</t>
  </si>
  <si>
    <t>U.S. statutory rate 21.0%</t>
  </si>
  <si>
    <t>No discrete tax benefits forecast</t>
  </si>
  <si>
    <t>Historical range 1.37%-1.67%</t>
  </si>
  <si>
    <t>Stable within range</t>
  </si>
  <si>
    <t>Historical range 0.93%-1.89%</t>
  </si>
  <si>
    <t>Supports renewed growth</t>
  </si>
  <si>
    <t>Converges to average operating intensity</t>
  </si>
  <si>
    <t>FY2030</t>
  </si>
  <si>
    <t>Historical maximum growth 9.65%</t>
  </si>
  <si>
    <t>Recovery reaches its strongest annual rate</t>
  </si>
  <si>
    <t>FY2024 44.56%</t>
  </si>
  <si>
    <t>Recovers to FY2024 vicinity</t>
  </si>
  <si>
    <t>Operating leverage while absolute SG&amp;A rises</t>
  </si>
  <si>
    <t>Normalized tax held constant</t>
  </si>
  <si>
    <t>Historical upper range 1.89%</t>
  </si>
  <si>
    <t>Supports recovery without exceeding history</t>
  </si>
  <si>
    <t>Three-year average 9.99%</t>
  </si>
  <si>
    <t>Approaches recent average</t>
  </si>
  <si>
    <t>FY2031</t>
  </si>
  <si>
    <t>Five-year endpoint CAGR -0.2%</t>
  </si>
  <si>
    <t>Fades toward mature nominal growth</t>
  </si>
  <si>
    <t>mature-state convergence</t>
  </si>
  <si>
    <t>Sustainable recovery below historical peak</t>
  </si>
  <si>
    <t>Modest mature operating leverage</t>
  </si>
  <si>
    <t>Stable mature asset consumption</t>
  </si>
  <si>
    <t>Capex remains modestly above D&amp;A</t>
  </si>
  <si>
    <t>Converges to recent average</t>
  </si>
  <si>
    <t>bull</t>
  </si>
  <si>
    <t>FY2026 revenue USD 46398m</t>
  </si>
  <si>
    <t>Strong second half offsets near-term pressure</t>
  </si>
  <si>
    <t>Earlier operational recovery absorbs tariff pressure</t>
  </si>
  <si>
    <t>Investment continues while revenue improves</t>
  </si>
  <si>
    <t>No scenario-specific tax benefit</t>
  </si>
  <si>
    <t>Stable opening reinvestment profile</t>
  </si>
  <si>
    <t>Higher reinvestment supports upside</t>
  </si>
  <si>
    <t>Stronger execution produces faster normalization</t>
  </si>
  <si>
    <t>Historical maximum 9.65%</t>
  </si>
  <si>
    <t>Broader recovery develops sooner</t>
  </si>
  <si>
    <t>Recovery reaches historical average</t>
  </si>
  <si>
    <t>Three-year average 33.91%</t>
  </si>
  <si>
    <t>No unsupported tax-mix upside</t>
  </si>
  <si>
    <t>Historical maximum 1.89%</t>
  </si>
  <si>
    <t>Higher reinvestment accompanies growth</t>
  </si>
  <si>
    <t>Efficiency improves within historical range</t>
  </si>
  <si>
    <t>FY2023 growth 9.65%</t>
  </si>
  <si>
    <t>Strong recovery remains below historical maximum</t>
  </si>
  <si>
    <t>FY2022 45.98%</t>
  </si>
  <si>
    <t>Better mix pricing and cost execution</t>
  </si>
  <si>
    <t>Scale supports leverage without cutting absolute spend</t>
  </si>
  <si>
    <t>Stable during growth</t>
  </si>
  <si>
    <t>Rounded high-end reinvestment supports growth</t>
  </si>
  <si>
    <t>Improved working-capital execution</t>
  </si>
  <si>
    <t>Sustains strong recovery for a second year</t>
  </si>
  <si>
    <t>Approaches historical peak without exceeding it</t>
  </si>
  <si>
    <t>FY2024 32.27%</t>
  </si>
  <si>
    <t>Returns to FY2024 efficiency with higher absolute spending</t>
  </si>
  <si>
    <t>Historical maximum 1.67%</t>
  </si>
  <si>
    <t>Prior reinvestment raises depreciation</t>
  </si>
  <si>
    <t>Sustains growth investment</t>
  </si>
  <si>
    <t>Historical minimum 8.97%</t>
  </si>
  <si>
    <t>Improves toward historical low</t>
  </si>
  <si>
    <t>Historical five-year range</t>
  </si>
  <si>
    <t>Converges just below historical peak</t>
  </si>
  <si>
    <t>FY2022 31.69%</t>
  </si>
  <si>
    <t>Converges near historical low with higher absolute SG&amp;A</t>
  </si>
  <si>
    <t>Rounded mature asset consumption</t>
  </si>
  <si>
    <t>Capex remains above D&amp;A</t>
  </si>
  <si>
    <t>Sustainable efficiency near historical low</t>
  </si>
  <si>
    <t>bear</t>
  </si>
  <si>
    <t>FY2027 Q1 low-to-mid-single-digit decline outlook</t>
  </si>
  <si>
    <t>Near-term weakness persists through the year</t>
  </si>
  <si>
    <t>Tariff and promotional pressure outweigh efficiency</t>
  </si>
  <si>
    <t>Expense rigidity on lower revenue</t>
  </si>
  <si>
    <t>No automatic tax benefit</t>
  </si>
  <si>
    <t>Existing asset base continues to depreciate</t>
  </si>
  <si>
    <t>FY2025 low 0.93%</t>
  </si>
  <si>
    <t>Reduced but maintenance-supporting reinvestment</t>
  </si>
  <si>
    <t>Limited normalization and weaker efficiency</t>
  </si>
  <si>
    <t>FY2025 decline 9.84%</t>
  </si>
  <si>
    <t>Weakness continues at a slower rate</t>
  </si>
  <si>
    <t>No margin recovery yet</t>
  </si>
  <si>
    <t>Fixed-cost pressure reaches its peak</t>
  </si>
  <si>
    <t>No unsupported tax relief</t>
  </si>
  <si>
    <t>Maintains operations despite lower growth</t>
  </si>
  <si>
    <t>FY2026 11.87%</t>
  </si>
  <si>
    <t>Working-capital inefficiency persists</t>
  </si>
  <si>
    <t>FY2026 growth 0.19%</t>
  </si>
  <si>
    <t>Top line stabilizes near flat</t>
  </si>
  <si>
    <t>Historical minimum 42.73%</t>
  </si>
  <si>
    <t>Partial recovery remains below historical range</t>
  </si>
  <si>
    <t>Only limited cost leverage</t>
  </si>
  <si>
    <t>Stable asset consumption</t>
  </si>
  <si>
    <t>Reinvestment begins to normalize</t>
  </si>
  <si>
    <t>Efficiency remains weak</t>
  </si>
  <si>
    <t>Five-year average near flat</t>
  </si>
  <si>
    <t>Modest delayed recovery</t>
  </si>
  <si>
    <t>Returns toward historical low</t>
  </si>
  <si>
    <t>Modest leverage during recovery</t>
  </si>
  <si>
    <t>Five-year average 1.55%</t>
  </si>
  <si>
    <t>Lower prior capex reduces D&amp;A gradually</t>
  </si>
  <si>
    <t>Returns to maintenance-level investment</t>
  </si>
  <si>
    <t>Slow efficiency improvement</t>
  </si>
  <si>
    <t>Converges to low mature nominal growth</t>
  </si>
  <si>
    <t>FY2025 42.73%</t>
  </si>
  <si>
    <t>Converges near historical low</t>
  </si>
  <si>
    <t>Limited mature operating leverage</t>
  </si>
  <si>
    <t>Capex equals D&amp;A at mature endpoint</t>
  </si>
  <si>
    <t>Historical range 8.97%-11.87%</t>
  </si>
  <si>
    <t>Remains near historical high</t>
  </si>
  <si>
    <t>Scenario selector values</t>
  </si>
  <si>
    <t>Bear</t>
  </si>
  <si>
    <t>Base</t>
  </si>
  <si>
    <t>Bull</t>
  </si>
  <si>
    <t>Workbook metadata</t>
  </si>
  <si>
    <t>DCF valuation date</t>
  </si>
  <si>
    <t>Information cutoff</t>
  </si>
  <si>
    <t>Reference market date</t>
  </si>
  <si>
    <t>Valuation inputs</t>
  </si>
  <si>
    <t>config/valuation_assumptions.csv</t>
  </si>
  <si>
    <t>Scenario assumptions</t>
  </si>
  <si>
    <t>config/scenario_assumptions.csv</t>
  </si>
  <si>
    <t>Python valuation results</t>
  </si>
  <si>
    <t>outputs/model_exports/valuation_summary.csv</t>
  </si>
  <si>
    <t>Calculated input combinations</t>
  </si>
  <si>
    <t>Basic shares</t>
  </si>
  <si>
    <t>Diluted proxy shares</t>
  </si>
  <si>
    <t>Cash and short-term investments</t>
  </si>
  <si>
    <t>Historical DCF inputs</t>
  </si>
  <si>
    <t>FY2022A-FY2026A; USD millions except per-share, share-count, and percentage lines</t>
  </si>
  <si>
    <t>Metric</t>
  </si>
  <si>
    <t>FY2022A</t>
  </si>
  <si>
    <t>FY2023A</t>
  </si>
  <si>
    <t>FY2024A</t>
  </si>
  <si>
    <t>FY2025A</t>
  </si>
  <si>
    <t>FY2026A</t>
  </si>
  <si>
    <t>Source / convention</t>
  </si>
  <si>
    <t>Revenue</t>
  </si>
  <si>
    <t>Committed Phase 4 actual bridge.</t>
  </si>
  <si>
    <t>Derived operating income</t>
  </si>
  <si>
    <t>Project-derived consolidated subtotal: gross profit less total SG&amp;A; not Nike-reported or segment EBIT.</t>
  </si>
  <si>
    <t>Derived operating margin</t>
  </si>
  <si>
    <t>Historical effective operating tax rate</t>
  </si>
  <si>
    <t>Depreciation and amortization</t>
  </si>
  <si>
    <t>Capital expenditures</t>
  </si>
  <si>
    <t>Positive amount represents investment spending.</t>
  </si>
  <si>
    <t>Operating NWC proxy</t>
  </si>
  <si>
    <t>Change in operating NWC</t>
  </si>
  <si>
    <t>FY2022 is not applicable because FY2021 opening operating NWC is unavailable.</t>
  </si>
  <si>
    <t>Historical FCFF</t>
  </si>
  <si>
    <t>FY2026 valuation bridge and share inputs</t>
  </si>
  <si>
    <t>Cash and cash equivalents</t>
  </si>
  <si>
    <t>Short-term investments</t>
  </si>
  <si>
    <t>Carrying interest-bearing debt</t>
  </si>
  <si>
    <t>Operating leases (memorandum)</t>
  </si>
  <si>
    <t>Class A shares outstanding</t>
  </si>
  <si>
    <t>Class B shares outstanding</t>
  </si>
  <si>
    <t>Incremental dilutive-share proxy</t>
  </si>
  <si>
    <t>VA04;VA05</t>
  </si>
  <si>
    <t>VA04;VA05;VA06</t>
  </si>
  <si>
    <t>Operating scenarios</t>
  </si>
  <si>
    <t>FY2026A anchor and approved FY2027E-FY2031E analyst scenarios; USD millions unless noted</t>
  </si>
  <si>
    <t>Bear scenario</t>
  </si>
  <si>
    <t>FY2027E</t>
  </si>
  <si>
    <t>FY2028E</t>
  </si>
  <si>
    <t>FY2029E</t>
  </si>
  <si>
    <t>FY2030E</t>
  </si>
  <si>
    <t>FY2031E</t>
  </si>
  <si>
    <t>Source / formula</t>
  </si>
  <si>
    <t>Revenue growth</t>
  </si>
  <si>
    <t>Approved scenario driver linked from Sources.</t>
  </si>
  <si>
    <t>Native workbook formula.</t>
  </si>
  <si>
    <t>Gross margin</t>
  </si>
  <si>
    <t>Gross profit</t>
  </si>
  <si>
    <t>SG&amp;A / revenue</t>
  </si>
  <si>
    <t>Total SG&amp;A</t>
  </si>
  <si>
    <t>Gross profit less total SG&amp;A; not Nike-reported or segment EBIT.</t>
  </si>
  <si>
    <t>Operating tax rate</t>
  </si>
  <si>
    <t>Normalized operating tax expense</t>
  </si>
  <si>
    <t>NOPAT</t>
  </si>
  <si>
    <t>D&amp;A / revenue</t>
  </si>
  <si>
    <t>Capex / revenue</t>
  </si>
  <si>
    <t>Operating NWC / revenue</t>
  </si>
  <si>
    <t>Free cash flow to the firm</t>
  </si>
  <si>
    <t>NOPAT + D&amp;A - capex - change in operating NWC.</t>
  </si>
  <si>
    <t>Base scenario</t>
  </si>
  <si>
    <t>Bull scenario</t>
  </si>
  <si>
    <t>Weighted average cost of capital</t>
  </si>
  <si>
    <t>Primary build uses fair-value debt; carrying-debt build is a cross-check</t>
  </si>
  <si>
    <t>Primary fair-value-debt WACC</t>
  </si>
  <si>
    <t>Carrying-debt WACC cross-check</t>
  </si>
  <si>
    <t>Reference market price</t>
  </si>
  <si>
    <t>ReferenceMarketPrice</t>
  </si>
  <si>
    <t>Class A shares</t>
  </si>
  <si>
    <t>ClassAShares</t>
  </si>
  <si>
    <t>Class B shares</t>
  </si>
  <si>
    <t>ClassBShares</t>
  </si>
  <si>
    <t>E10+E11</t>
  </si>
  <si>
    <t>Market equity</t>
  </si>
  <si>
    <t>E9*E12</t>
  </si>
  <si>
    <t>Footwear revenue</t>
  </si>
  <si>
    <t>'Sources'!D23</t>
  </si>
  <si>
    <t>Footwear unlevered beta</t>
  </si>
  <si>
    <t>x</t>
  </si>
  <si>
    <t>'Sources'!D27</t>
  </si>
  <si>
    <t>Apparel revenue</t>
  </si>
  <si>
    <t>'Sources'!D24</t>
  </si>
  <si>
    <t>Apparel unlevered beta</t>
  </si>
  <si>
    <t>'Sources'!D28</t>
  </si>
  <si>
    <t>Equipment revenue</t>
  </si>
  <si>
    <t>'Sources'!D25</t>
  </si>
  <si>
    <t>Equipment unlevered beta</t>
  </si>
  <si>
    <t>'Sources'!D29</t>
  </si>
  <si>
    <t>Classified product revenue</t>
  </si>
  <si>
    <t>E14+E16+E18</t>
  </si>
  <si>
    <t>Other revenue</t>
  </si>
  <si>
    <t>'Sources'!D26</t>
  </si>
  <si>
    <t>Total revenue</t>
  </si>
  <si>
    <t>E20+E21</t>
  </si>
  <si>
    <t>Product-weighted unlevered beta</t>
  </si>
  <si>
    <t>(E14*E15+E16*E17+E18*E19)/E20</t>
  </si>
  <si>
    <t>Debt used</t>
  </si>
  <si>
    <t>FairValueDebt</t>
  </si>
  <si>
    <t>Debt / equity</t>
  </si>
  <si>
    <t>E24/E13</t>
  </si>
  <si>
    <t>OperatingTaxRate</t>
  </si>
  <si>
    <t>Relevered beta</t>
  </si>
  <si>
    <t>E23*(1+(1-E26)*E24/E13)</t>
  </si>
  <si>
    <t>Risk-free rate</t>
  </si>
  <si>
    <t>RiskFreeRate</t>
  </si>
  <si>
    <t>Equity-risk premium</t>
  </si>
  <si>
    <t>EquityRiskPremium</t>
  </si>
  <si>
    <t>Cost of equity</t>
  </si>
  <si>
    <t>E28+E27*E29</t>
  </si>
  <si>
    <t>Debt default spread</t>
  </si>
  <si>
    <t>DebtDefaultSpread</t>
  </si>
  <si>
    <t>Pretax cost of debt</t>
  </si>
  <si>
    <t>E28+E31</t>
  </si>
  <si>
    <t>After-tax cost of debt</t>
  </si>
  <si>
    <t>E32*(1-E26)</t>
  </si>
  <si>
    <t>Equity weight</t>
  </si>
  <si>
    <t>E13/(E13+E24)</t>
  </si>
  <si>
    <t>Debt weight</t>
  </si>
  <si>
    <t>E24/(E13+E24)</t>
  </si>
  <si>
    <t>Calculated WACC</t>
  </si>
  <si>
    <t>E34*E30+E35*E33</t>
  </si>
  <si>
    <t>J10+J11</t>
  </si>
  <si>
    <t>J9*J12</t>
  </si>
  <si>
    <t>J14+J16+J18</t>
  </si>
  <si>
    <t>J20+J21</t>
  </si>
  <si>
    <t>(J14*J15+J16*J17+J18*J19)/J20</t>
  </si>
  <si>
    <t>CarryingDebt</t>
  </si>
  <si>
    <t>J24/J13</t>
  </si>
  <si>
    <t>J23*(1+(1-J26)*J24/J13)</t>
  </si>
  <si>
    <t>J28+J27*J29</t>
  </si>
  <si>
    <t>J28+J31</t>
  </si>
  <si>
    <t>J32*(1-J26)</t>
  </si>
  <si>
    <t>J13/(J13+J24)</t>
  </si>
  <si>
    <t>J24/(J13+J24)</t>
  </si>
  <si>
    <t>J34*J30+J35*J33</t>
  </si>
  <si>
    <t>Discounted cash flow</t>
  </si>
  <si>
    <t>Full-year FY2027-FY2031 FCFF discounted from Sep. 4, 2026; May 31, 2026 equity-bridge balances are not rolled forward</t>
  </si>
  <si>
    <t>Selected scenario</t>
  </si>
  <si>
    <t>Explicit forecast</t>
  </si>
  <si>
    <t>Model date</t>
  </si>
  <si>
    <t>Cash-flow date</t>
  </si>
  <si>
    <t>FCFF</t>
  </si>
  <si>
    <t>Discount exponent</t>
  </si>
  <si>
    <t>Discount factor</t>
  </si>
  <si>
    <t>Present value of FCFF</t>
  </si>
  <si>
    <t>Total explicit-period PV</t>
  </si>
  <si>
    <t>FY2032 terminal transition</t>
  </si>
  <si>
    <t>FY2032 terminal</t>
  </si>
  <si>
    <t>Terminal-year FCFF</t>
  </si>
  <si>
    <t>Terminal EBITDA proxy</t>
  </si>
  <si>
    <t>Terminal value</t>
  </si>
  <si>
    <t>Present value of terminal value</t>
  </si>
  <si>
    <t>Enterprise-to-equity bridge</t>
  </si>
  <si>
    <t>PV of explicit FCFF</t>
  </si>
  <si>
    <t>PV of terminal value</t>
  </si>
  <si>
    <t>Enterprise value</t>
  </si>
  <si>
    <t>Less: carrying interest-bearing debt</t>
  </si>
  <si>
    <t>Less: redeemable preferred stock</t>
  </si>
  <si>
    <t>Other adjustments</t>
  </si>
  <si>
    <t>Equity value</t>
  </si>
  <si>
    <t>Diluted-proxy shares</t>
  </si>
  <si>
    <t>Illustrative value per share</t>
  </si>
  <si>
    <t>Basic-share denominator cross-check</t>
  </si>
  <si>
    <t>September 4, 2026 reference price</t>
  </si>
  <si>
    <t>Premium / (discount) to reference</t>
  </si>
  <si>
    <t>PV of terminal value / enterprise value</t>
  </si>
  <si>
    <t>Implied terminal EV / EBITDA</t>
  </si>
  <si>
    <t>Operating lease liabilities (memorandum)</t>
  </si>
  <si>
    <t>Native XNPV enterprise value</t>
  </si>
  <si>
    <t>Explicit date-exponent enterprise value</t>
  </si>
  <si>
    <t>XNPV reconciliation difference</t>
  </si>
  <si>
    <t>XNPV cash-flow helper</t>
  </si>
  <si>
    <t>All-scenario valuation outputs</t>
  </si>
  <si>
    <t>FY2032 revenue</t>
  </si>
  <si>
    <t>FY2032 gross profit</t>
  </si>
  <si>
    <t>FY2032 total SG&amp;A</t>
  </si>
  <si>
    <t>FY2032 derived operating income</t>
  </si>
  <si>
    <t>FY2032 operating tax expense</t>
  </si>
  <si>
    <t>FY2032 NOPAT</t>
  </si>
  <si>
    <t>FY2032 D&amp;A</t>
  </si>
  <si>
    <t>FY2032 capex</t>
  </si>
  <si>
    <t>FY2032 operating NWC</t>
  </si>
  <si>
    <t>FY2032 change in operating NWC</t>
  </si>
  <si>
    <t>FY2032 FCFF</t>
  </si>
  <si>
    <t>FY2032 EBITDA proxy</t>
  </si>
  <si>
    <t>Basic-share cross-check</t>
  </si>
  <si>
    <t>Premium / (discount)</t>
  </si>
  <si>
    <t>PV terminal / EV</t>
  </si>
  <si>
    <t>Terminal EV / EBITDA</t>
  </si>
  <si>
    <t>Base-case sensitivity</t>
  </si>
  <si>
    <t>Illustrative value per diluted-proxy share; full-precision WACC and perpetual-growth inputs</t>
  </si>
  <si>
    <t>WACC / perpetual growth</t>
  </si>
  <si>
    <t>WACC</t>
  </si>
  <si>
    <t>Visible terminal-growth helpers</t>
  </si>
  <si>
    <t>Perpetual growth</t>
  </si>
  <si>
    <t>FY2032 tax expense</t>
  </si>
  <si>
    <t>Model checks</t>
  </si>
  <si>
    <t>Mechanical integrity, approved-snapshot reconciliation, warnings, and package/build controls remain distinct</t>
  </si>
  <si>
    <t>Mechanical integrity</t>
  </si>
  <si>
    <t>Approved snapshot</t>
  </si>
  <si>
    <t>Warnings</t>
  </si>
  <si>
    <t>Package/build controls</t>
  </si>
  <si>
    <t>Canonical publication gate</t>
  </si>
  <si>
    <t>Check ID</t>
  </si>
  <si>
    <t>Control class</t>
  </si>
  <si>
    <t>Category / scope</t>
  </si>
  <si>
    <t>Actual</t>
  </si>
  <si>
    <t>Expected</t>
  </si>
  <si>
    <t>Difference</t>
  </si>
  <si>
    <t>Tolerance</t>
  </si>
  <si>
    <t>Status</t>
  </si>
  <si>
    <t>Notes / fix location</t>
  </si>
  <si>
    <t>desktop_excel_recalculation_sentinel</t>
  </si>
  <si>
    <t>Package/build control</t>
  </si>
  <si>
    <t>recalculation — workbook</t>
  </si>
  <si>
    <t>Seeded incorrectly before COM; must equal 2 only after desktop Excel recalculation.</t>
  </si>
  <si>
    <t>valuation_input_count</t>
  </si>
  <si>
    <t>inputs — workbook</t>
  </si>
  <si>
    <t>Sources!A7:A40</t>
  </si>
  <si>
    <t>valuation_inputs_approved</t>
  </si>
  <si>
    <t>Sources!I7:I40</t>
  </si>
  <si>
    <t>valuation_source_count</t>
  </si>
  <si>
    <t>sources — workbook</t>
  </si>
  <si>
    <t>Sources!A45:A55</t>
  </si>
  <si>
    <t>scenario_assumption_count</t>
  </si>
  <si>
    <t>Sources!A60:A164</t>
  </si>
  <si>
    <t>scenario_assumptions_approved</t>
  </si>
  <si>
    <t>Sources!J60:J164</t>
  </si>
  <si>
    <t>valuation_source_id_syntax</t>
  </si>
  <si>
    <t>sources — valuation source register</t>
  </si>
  <si>
    <t>Every source-register ID follows VS plus exactly two ASCII digits.</t>
  </si>
  <si>
    <t>valuation_source_id_resolution</t>
  </si>
  <si>
    <t>sources — valuation inputs</t>
  </si>
  <si>
    <t>Every semicolon-delimited VS## token resolves by exact boundary in tblValuationSources.</t>
  </si>
  <si>
    <t>scenario_source_id_resolution</t>
  </si>
  <si>
    <t>sources — scenario assumptions</t>
  </si>
  <si>
    <t>Every scenario source ID resolves to the committed Phase 4 forecast-source register.</t>
  </si>
  <si>
    <t>valuation_input_values_match_approved</t>
  </si>
  <si>
    <t>inputs — valuation assumptions</t>
  </si>
  <si>
    <t>Editable valuation values reconcile to the approved committed snapshot.</t>
  </si>
  <si>
    <t>scenario_input_values_match_approved</t>
  </si>
  <si>
    <t>inputs — scenario assumptions</t>
  </si>
  <si>
    <t>Editable scenario values reconcile to the approved committed snapshot.</t>
  </si>
  <si>
    <t>wacc_weights_sum</t>
  </si>
  <si>
    <t>wacc — primary</t>
  </si>
  <si>
    <t>WACC primary weights</t>
  </si>
  <si>
    <t>unlevered_beta_formula</t>
  </si>
  <si>
    <t>WACC product-revenue-weighted beta</t>
  </si>
  <si>
    <t>relevered_beta_formula</t>
  </si>
  <si>
    <t>WACC relevering equation</t>
  </si>
  <si>
    <t>capm_cost_of_equity</t>
  </si>
  <si>
    <t>WACC CAPM equation</t>
  </si>
  <si>
    <t>pretax_cost_of_debt</t>
  </si>
  <si>
    <t>Risk-free rate plus default spread</t>
  </si>
  <si>
    <t>after_tax_cost_of_debt</t>
  </si>
  <si>
    <t>Pretax debt cost after operating-tax shield</t>
  </si>
  <si>
    <t>wacc_formula</t>
  </si>
  <si>
    <t>WACC!E calculated result</t>
  </si>
  <si>
    <t>wacc_carrying_crosscheck</t>
  </si>
  <si>
    <t>wacc — carrying debt</t>
  </si>
  <si>
    <t>WACC!J calculated result</t>
  </si>
  <si>
    <t>wacc_exceeds_terminal_growth</t>
  </si>
  <si>
    <t>terminal value — workbook</t>
  </si>
  <si>
    <t>Headline WACC must exceed headline terminal growth.</t>
  </si>
  <si>
    <t>forecast_bear_FY2027_revenue</t>
  </si>
  <si>
    <t>forecast reconciliation — bear</t>
  </si>
  <si>
    <t>Scenarios!E10</t>
  </si>
  <si>
    <t>forecast_bear_FY2027_derived_operating_income</t>
  </si>
  <si>
    <t>Scenarios!E15</t>
  </si>
  <si>
    <t>forecast_bear_FY2027_operating_nwc_proxy</t>
  </si>
  <si>
    <t>Scenarios!E25</t>
  </si>
  <si>
    <t>forecast_bear_FY2027_fcff</t>
  </si>
  <si>
    <t>Scenarios!E27</t>
  </si>
  <si>
    <t>fcff_identity_bear_FY2027</t>
  </si>
  <si>
    <t>FCFF — bear</t>
  </si>
  <si>
    <t>Scenarios!E27 equals NOPAT + D&amp;A - capex - change in operating NWC.</t>
  </si>
  <si>
    <t>forecast_bear_FY2028_revenue</t>
  </si>
  <si>
    <t>Scenarios!F10</t>
  </si>
  <si>
    <t>forecast_bear_FY2028_derived_operating_income</t>
  </si>
  <si>
    <t>Scenarios!F15</t>
  </si>
  <si>
    <t>forecast_bear_FY2028_operating_nwc_proxy</t>
  </si>
  <si>
    <t>Scenarios!F25</t>
  </si>
  <si>
    <t>forecast_bear_FY2028_fcff</t>
  </si>
  <si>
    <t>Scenarios!F27</t>
  </si>
  <si>
    <t>fcff_identity_bear_FY2028</t>
  </si>
  <si>
    <t>Scenarios!F27 equals NOPAT + D&amp;A - capex - change in operating NWC.</t>
  </si>
  <si>
    <t>forecast_bear_FY2029_revenue</t>
  </si>
  <si>
    <t>Scenarios!G10</t>
  </si>
  <si>
    <t>forecast_bear_FY2029_derived_operating_income</t>
  </si>
  <si>
    <t>Scenarios!G15</t>
  </si>
  <si>
    <t>forecast_bear_FY2029_operating_nwc_proxy</t>
  </si>
  <si>
    <t>Scenarios!G25</t>
  </si>
  <si>
    <t>forecast_bear_FY2029_fcff</t>
  </si>
  <si>
    <t>Scenarios!G27</t>
  </si>
  <si>
    <t>fcff_identity_bear_FY2029</t>
  </si>
  <si>
    <t>Scenarios!G27 equals NOPAT + D&amp;A - capex - change in operating NWC.</t>
  </si>
  <si>
    <t>forecast_bear_FY2030_revenue</t>
  </si>
  <si>
    <t>Scenarios!H10</t>
  </si>
  <si>
    <t>forecast_bear_FY2030_derived_operating_income</t>
  </si>
  <si>
    <t>Scenarios!H15</t>
  </si>
  <si>
    <t>forecast_bear_FY2030_operating_nwc_proxy</t>
  </si>
  <si>
    <t>Scenarios!H25</t>
  </si>
  <si>
    <t>forecast_bear_FY2030_fcff</t>
  </si>
  <si>
    <t>Scenarios!H27</t>
  </si>
  <si>
    <t>fcff_identity_bear_FY2030</t>
  </si>
  <si>
    <t>Scenarios!H27 equals NOPAT + D&amp;A - capex - change in operating NWC.</t>
  </si>
  <si>
    <t>forecast_bear_FY2031_revenue</t>
  </si>
  <si>
    <t>Scenarios!I10</t>
  </si>
  <si>
    <t>forecast_bear_FY2031_derived_operating_income</t>
  </si>
  <si>
    <t>Scenarios!I15</t>
  </si>
  <si>
    <t>forecast_bear_FY2031_operating_nwc_proxy</t>
  </si>
  <si>
    <t>Scenarios!I25</t>
  </si>
  <si>
    <t>forecast_bear_FY2031_fcff</t>
  </si>
  <si>
    <t>Scenarios!I27</t>
  </si>
  <si>
    <t>fcff_identity_bear_FY2031</t>
  </si>
  <si>
    <t>Scenarios!I27 equals NOPAT + D&amp;A - capex - change in operating NWC.</t>
  </si>
  <si>
    <t>forecast_base_FY2027_revenue</t>
  </si>
  <si>
    <t>forecast reconciliation — base</t>
  </si>
  <si>
    <t>Scenarios!E35</t>
  </si>
  <si>
    <t>forecast_base_FY2027_derived_operating_income</t>
  </si>
  <si>
    <t>Scenarios!E40</t>
  </si>
  <si>
    <t>forecast_base_FY2027_operating_nwc_proxy</t>
  </si>
  <si>
    <t>Scenarios!E50</t>
  </si>
  <si>
    <t>forecast_base_FY2027_fcff</t>
  </si>
  <si>
    <t>Scenarios!E52</t>
  </si>
  <si>
    <t>fcff_identity_base_FY2027</t>
  </si>
  <si>
    <t>FCFF — base</t>
  </si>
  <si>
    <t>Scenarios!E52 equals NOPAT + D&amp;A - capex - change in operating NWC.</t>
  </si>
  <si>
    <t>forecast_base_FY2028_revenue</t>
  </si>
  <si>
    <t>Scenarios!F35</t>
  </si>
  <si>
    <t>forecast_base_FY2028_derived_operating_income</t>
  </si>
  <si>
    <t>Scenarios!F40</t>
  </si>
  <si>
    <t>forecast_base_FY2028_operating_nwc_proxy</t>
  </si>
  <si>
    <t>Scenarios!F50</t>
  </si>
  <si>
    <t>forecast_base_FY2028_fcff</t>
  </si>
  <si>
    <t>Scenarios!F52</t>
  </si>
  <si>
    <t>fcff_identity_base_FY2028</t>
  </si>
  <si>
    <t>Scenarios!F52 equals NOPAT + D&amp;A - capex - change in operating NWC.</t>
  </si>
  <si>
    <t>forecast_base_FY2029_revenue</t>
  </si>
  <si>
    <t>Scenarios!G35</t>
  </si>
  <si>
    <t>forecast_base_FY2029_derived_operating_income</t>
  </si>
  <si>
    <t>Scenarios!G40</t>
  </si>
  <si>
    <t>forecast_base_FY2029_operating_nwc_proxy</t>
  </si>
  <si>
    <t>Scenarios!G50</t>
  </si>
  <si>
    <t>forecast_base_FY2029_fcff</t>
  </si>
  <si>
    <t>Scenarios!G52</t>
  </si>
  <si>
    <t>fcff_identity_base_FY2029</t>
  </si>
  <si>
    <t>Scenarios!G52 equals NOPAT + D&amp;A - capex - change in operating NWC.</t>
  </si>
  <si>
    <t>forecast_base_FY2030_revenue</t>
  </si>
  <si>
    <t>Scenarios!H35</t>
  </si>
  <si>
    <t>forecast_base_FY2030_derived_operating_income</t>
  </si>
  <si>
    <t>Scenarios!H40</t>
  </si>
  <si>
    <t>forecast_base_FY2030_operating_nwc_proxy</t>
  </si>
  <si>
    <t>Scenarios!H50</t>
  </si>
  <si>
    <t>forecast_base_FY2030_fcff</t>
  </si>
  <si>
    <t>Scenarios!H52</t>
  </si>
  <si>
    <t>fcff_identity_base_FY2030</t>
  </si>
  <si>
    <t>Scenarios!H52 equals NOPAT + D&amp;A - capex - change in operating NWC.</t>
  </si>
  <si>
    <t>forecast_base_FY2031_revenue</t>
  </si>
  <si>
    <t>Scenarios!I35</t>
  </si>
  <si>
    <t>forecast_base_FY2031_derived_operating_income</t>
  </si>
  <si>
    <t>Scenarios!I40</t>
  </si>
  <si>
    <t>forecast_base_FY2031_operating_nwc_proxy</t>
  </si>
  <si>
    <t>Scenarios!I50</t>
  </si>
  <si>
    <t>forecast_base_FY2031_fcff</t>
  </si>
  <si>
    <t>Scenarios!I52</t>
  </si>
  <si>
    <t>fcff_identity_base_FY2031</t>
  </si>
  <si>
    <t>Scenarios!I52 equals NOPAT + D&amp;A - capex - change in operating NWC.</t>
  </si>
  <si>
    <t>forecast_bull_FY2027_revenue</t>
  </si>
  <si>
    <t>forecast reconciliation — bull</t>
  </si>
  <si>
    <t>Scenarios!E60</t>
  </si>
  <si>
    <t>forecast_bull_FY2027_derived_operating_income</t>
  </si>
  <si>
    <t>Scenarios!E65</t>
  </si>
  <si>
    <t>forecast_bull_FY2027_operating_nwc_proxy</t>
  </si>
  <si>
    <t>Scenarios!E75</t>
  </si>
  <si>
    <t>forecast_bull_FY2027_fcff</t>
  </si>
  <si>
    <t>Scenarios!E77</t>
  </si>
  <si>
    <t>fcff_identity_bull_FY2027</t>
  </si>
  <si>
    <t>FCFF — bull</t>
  </si>
  <si>
    <t>Scenarios!E77 equals NOPAT + D&amp;A - capex - change in operating NWC.</t>
  </si>
  <si>
    <t>forecast_bull_FY2028_revenue</t>
  </si>
  <si>
    <t>Scenarios!F60</t>
  </si>
  <si>
    <t>forecast_bull_FY2028_derived_operating_income</t>
  </si>
  <si>
    <t>Scenarios!F65</t>
  </si>
  <si>
    <t>forecast_bull_FY2028_operating_nwc_proxy</t>
  </si>
  <si>
    <t>Scenarios!F75</t>
  </si>
  <si>
    <t>forecast_bull_FY2028_fcff</t>
  </si>
  <si>
    <t>Scenarios!F77</t>
  </si>
  <si>
    <t>fcff_identity_bull_FY2028</t>
  </si>
  <si>
    <t>Scenarios!F77 equals NOPAT + D&amp;A - capex - change in operating NWC.</t>
  </si>
  <si>
    <t>forecast_bull_FY2029_revenue</t>
  </si>
  <si>
    <t>Scenarios!G60</t>
  </si>
  <si>
    <t>forecast_bull_FY2029_derived_operating_income</t>
  </si>
  <si>
    <t>Scenarios!G65</t>
  </si>
  <si>
    <t>forecast_bull_FY2029_operating_nwc_proxy</t>
  </si>
  <si>
    <t>Scenarios!G75</t>
  </si>
  <si>
    <t>forecast_bull_FY2029_fcff</t>
  </si>
  <si>
    <t>Scenarios!G77</t>
  </si>
  <si>
    <t>fcff_identity_bull_FY2029</t>
  </si>
  <si>
    <t>Scenarios!G77 equals NOPAT + D&amp;A - capex - change in operating NWC.</t>
  </si>
  <si>
    <t>forecast_bull_FY2030_revenue</t>
  </si>
  <si>
    <t>Scenarios!H60</t>
  </si>
  <si>
    <t>forecast_bull_FY2030_derived_operating_income</t>
  </si>
  <si>
    <t>Scenarios!H65</t>
  </si>
  <si>
    <t>forecast_bull_FY2030_operating_nwc_proxy</t>
  </si>
  <si>
    <t>Scenarios!H75</t>
  </si>
  <si>
    <t>forecast_bull_FY2030_fcff</t>
  </si>
  <si>
    <t>Scenarios!H77</t>
  </si>
  <si>
    <t>fcff_identity_bull_FY2030</t>
  </si>
  <si>
    <t>Scenarios!H77 equals NOPAT + D&amp;A - capex - change in operating NWC.</t>
  </si>
  <si>
    <t>forecast_bull_FY2031_revenue</t>
  </si>
  <si>
    <t>Scenarios!I60</t>
  </si>
  <si>
    <t>forecast_bull_FY2031_derived_operating_income</t>
  </si>
  <si>
    <t>Scenarios!I65</t>
  </si>
  <si>
    <t>forecast_bull_FY2031_operating_nwc_proxy</t>
  </si>
  <si>
    <t>Scenarios!I75</t>
  </si>
  <si>
    <t>forecast_bull_FY2031_fcff</t>
  </si>
  <si>
    <t>Scenarios!I77</t>
  </si>
  <si>
    <t>fcff_identity_bull_FY2031</t>
  </si>
  <si>
    <t>Scenarios!I77 equals NOPAT + D&amp;A - capex - change in operating NWC.</t>
  </si>
  <si>
    <t>discount_exponent_FY2027</t>
  </si>
  <si>
    <t>discounting — selected scenario</t>
  </si>
  <si>
    <t>DCF!E14</t>
  </si>
  <si>
    <t>discount_factor_FY2027</t>
  </si>
  <si>
    <t>DCF!E15</t>
  </si>
  <si>
    <t>discount_exponent_FY2028</t>
  </si>
  <si>
    <t>DCF!F14</t>
  </si>
  <si>
    <t>discount_factor_FY2028</t>
  </si>
  <si>
    <t>DCF!F15</t>
  </si>
  <si>
    <t>discount_exponent_FY2029</t>
  </si>
  <si>
    <t>DCF!G14</t>
  </si>
  <si>
    <t>discount_factor_FY2029</t>
  </si>
  <si>
    <t>DCF!G15</t>
  </si>
  <si>
    <t>discount_exponent_FY2030</t>
  </si>
  <si>
    <t>DCF!H14</t>
  </si>
  <si>
    <t>discount_factor_FY2030</t>
  </si>
  <si>
    <t>DCF!H15</t>
  </si>
  <si>
    <t>discount_exponent_FY2031</t>
  </si>
  <si>
    <t>DCF!I14</t>
  </si>
  <si>
    <t>discount_factor_FY2031</t>
  </si>
  <si>
    <t>DCF!I15</t>
  </si>
  <si>
    <t>exact_cash_flow_dates</t>
  </si>
  <si>
    <t>DCF!D12:I12</t>
  </si>
  <si>
    <t>xnpv_reconciliation</t>
  </si>
  <si>
    <t>DCF XNPV and explicit EV</t>
  </si>
  <si>
    <t>terminal_bridge_revenue</t>
  </si>
  <si>
    <t>terminal bridge — selected scenario</t>
  </si>
  <si>
    <t>DCF FY2032 bridge</t>
  </si>
  <si>
    <t>terminal_bridge_fcff</t>
  </si>
  <si>
    <t>terminal_value_formula</t>
  </si>
  <si>
    <t>terminal value — selected scenario</t>
  </si>
  <si>
    <t>DCF Gordon-growth formula</t>
  </si>
  <si>
    <t>enterprise_value_equation</t>
  </si>
  <si>
    <t>valuation — selected scenario</t>
  </si>
  <si>
    <t>DCF enterprise-to-equity bridge</t>
  </si>
  <si>
    <t>equity_value_equation</t>
  </si>
  <si>
    <t>positive_diluted_shares</t>
  </si>
  <si>
    <t>shares — workbook</t>
  </si>
  <si>
    <t>Diluted proxy shares must remain positive.</t>
  </si>
  <si>
    <t>basic_share_crosscheck</t>
  </si>
  <si>
    <t>shares — selected scenario</t>
  </si>
  <si>
    <t>DCF basic-share denominator cross-check</t>
  </si>
  <si>
    <t>python_value_per_share_bear</t>
  </si>
  <si>
    <t>Python reconciliation — bear</t>
  </si>
  <si>
    <t>DCF all-scenario formula block</t>
  </si>
  <si>
    <t>python_enterprise_value_bear</t>
  </si>
  <si>
    <t>python_terminal_fcff_bear</t>
  </si>
  <si>
    <t>terminal bridge — bear</t>
  </si>
  <si>
    <t>python_value_per_share_base</t>
  </si>
  <si>
    <t>Python reconciliation — base</t>
  </si>
  <si>
    <t>python_enterprise_value_base</t>
  </si>
  <si>
    <t>python_terminal_fcff_base</t>
  </si>
  <si>
    <t>terminal bridge — base</t>
  </si>
  <si>
    <t>python_value_per_share_bull</t>
  </si>
  <si>
    <t>Python reconciliation — bull</t>
  </si>
  <si>
    <t>python_enterprise_value_bull</t>
  </si>
  <si>
    <t>python_terminal_fcff_bull</t>
  </si>
  <si>
    <t>terminal bridge — bull</t>
  </si>
  <si>
    <t>scenario_value_ordering</t>
  </si>
  <si>
    <t>scenario coherence — workbook</t>
  </si>
  <si>
    <t>Bear &lt; Base &lt; Bull illustrative values</t>
  </si>
  <si>
    <t>sensitivity_calculation_D9</t>
  </si>
  <si>
    <t>sensitivity — Base</t>
  </si>
  <si>
    <t>Independent current-coordinate calculation for Sensitivity!D9.</t>
  </si>
  <si>
    <t>sensitivity_9_D</t>
  </si>
  <si>
    <t>Sensitivity!D9</t>
  </si>
  <si>
    <t>sensitivity_calculation_E9</t>
  </si>
  <si>
    <t>Independent current-coordinate calculation for Sensitivity!E9.</t>
  </si>
  <si>
    <t>sensitivity_9_E</t>
  </si>
  <si>
    <t>Sensitivity!E9</t>
  </si>
  <si>
    <t>sensitivity_calculation_F9</t>
  </si>
  <si>
    <t>Independent current-coordinate calculation for Sensitivity!F9.</t>
  </si>
  <si>
    <t>sensitivity_9_F</t>
  </si>
  <si>
    <t>Sensitivity!F9</t>
  </si>
  <si>
    <t>sensitivity_calculation_G9</t>
  </si>
  <si>
    <t>Independent current-coordinate calculation for Sensitivity!G9.</t>
  </si>
  <si>
    <t>sensitivity_9_G</t>
  </si>
  <si>
    <t>Sensitivity!G9</t>
  </si>
  <si>
    <t>sensitivity_calculation_H9</t>
  </si>
  <si>
    <t>Independent current-coordinate calculation for Sensitivity!H9.</t>
  </si>
  <si>
    <t>sensitivity_9_H</t>
  </si>
  <si>
    <t>Sensitivity!H9</t>
  </si>
  <si>
    <t>sensitivity_calculation_D10</t>
  </si>
  <si>
    <t>Independent current-coordinate calculation for Sensitivity!D10.</t>
  </si>
  <si>
    <t>sensitivity_10_D</t>
  </si>
  <si>
    <t>Sensitivity!D10</t>
  </si>
  <si>
    <t>sensitivity_calculation_E10</t>
  </si>
  <si>
    <t>Independent current-coordinate calculation for Sensitivity!E10.</t>
  </si>
  <si>
    <t>sensitivity_10_E</t>
  </si>
  <si>
    <t>Sensitivity!E10</t>
  </si>
  <si>
    <t>sensitivity_calculation_F10</t>
  </si>
  <si>
    <t>Independent current-coordinate calculation for Sensitivity!F10.</t>
  </si>
  <si>
    <t>sensitivity_10_F</t>
  </si>
  <si>
    <t>Sensitivity!F10</t>
  </si>
  <si>
    <t>sensitivity_calculation_G10</t>
  </si>
  <si>
    <t>Independent current-coordinate calculation for Sensitivity!G10.</t>
  </si>
  <si>
    <t>sensitivity_10_G</t>
  </si>
  <si>
    <t>Sensitivity!G10</t>
  </si>
  <si>
    <t>sensitivity_calculation_H10</t>
  </si>
  <si>
    <t>Independent current-coordinate calculation for Sensitivity!H10.</t>
  </si>
  <si>
    <t>sensitivity_10_H</t>
  </si>
  <si>
    <t>Sensitivity!H10</t>
  </si>
  <si>
    <t>sensitivity_calculation_D11</t>
  </si>
  <si>
    <t>Independent current-coordinate calculation for Sensitivity!D11.</t>
  </si>
  <si>
    <t>sensitivity_11_D</t>
  </si>
  <si>
    <t>Sensitivity!D11</t>
  </si>
  <si>
    <t>sensitivity_calculation_E11</t>
  </si>
  <si>
    <t>Independent current-coordinate calculation for Sensitivity!E11.</t>
  </si>
  <si>
    <t>sensitivity_11_E</t>
  </si>
  <si>
    <t>Sensitivity!E11</t>
  </si>
  <si>
    <t>sensitivity_calculation_F11</t>
  </si>
  <si>
    <t>Independent current-coordinate calculation for Sensitivity!F11.</t>
  </si>
  <si>
    <t>sensitivity_11_F</t>
  </si>
  <si>
    <t>Sensitivity!F11</t>
  </si>
  <si>
    <t>sensitivity_calculation_G11</t>
  </si>
  <si>
    <t>Independent current-coordinate calculation for Sensitivity!G11.</t>
  </si>
  <si>
    <t>sensitivity_11_G</t>
  </si>
  <si>
    <t>Sensitivity!G11</t>
  </si>
  <si>
    <t>sensitivity_calculation_H11</t>
  </si>
  <si>
    <t>Independent current-coordinate calculation for Sensitivity!H11.</t>
  </si>
  <si>
    <t>sensitivity_11_H</t>
  </si>
  <si>
    <t>Sensitivity!H11</t>
  </si>
  <si>
    <t>sensitivity_calculation_D12</t>
  </si>
  <si>
    <t>Independent current-coordinate calculation for Sensitivity!D12.</t>
  </si>
  <si>
    <t>sensitivity_12_D</t>
  </si>
  <si>
    <t>Sensitivity!D12</t>
  </si>
  <si>
    <t>sensitivity_calculation_E12</t>
  </si>
  <si>
    <t>Independent current-coordinate calculation for Sensitivity!E12.</t>
  </si>
  <si>
    <t>sensitivity_12_E</t>
  </si>
  <si>
    <t>Sensitivity!E12</t>
  </si>
  <si>
    <t>sensitivity_calculation_F12</t>
  </si>
  <si>
    <t>Independent current-coordinate calculation for Sensitivity!F12.</t>
  </si>
  <si>
    <t>sensitivity_12_F</t>
  </si>
  <si>
    <t>Sensitivity!F12</t>
  </si>
  <si>
    <t>sensitivity_calculation_G12</t>
  </si>
  <si>
    <t>Independent current-coordinate calculation for Sensitivity!G12.</t>
  </si>
  <si>
    <t>sensitivity_12_G</t>
  </si>
  <si>
    <t>Sensitivity!G12</t>
  </si>
  <si>
    <t>sensitivity_calculation_H12</t>
  </si>
  <si>
    <t>Independent current-coordinate calculation for Sensitivity!H12.</t>
  </si>
  <si>
    <t>sensitivity_12_H</t>
  </si>
  <si>
    <t>Sensitivity!H12</t>
  </si>
  <si>
    <t>sensitivity_calculation_D13</t>
  </si>
  <si>
    <t>Independent current-coordinate calculation for Sensitivity!D13.</t>
  </si>
  <si>
    <t>sensitivity_13_D</t>
  </si>
  <si>
    <t>Sensitivity!D13</t>
  </si>
  <si>
    <t>sensitivity_calculation_E13</t>
  </si>
  <si>
    <t>Independent current-coordinate calculation for Sensitivity!E13.</t>
  </si>
  <si>
    <t>sensitivity_13_E</t>
  </si>
  <si>
    <t>Sensitivity!E13</t>
  </si>
  <si>
    <t>sensitivity_calculation_F13</t>
  </si>
  <si>
    <t>Independent current-coordinate calculation for Sensitivity!F13.</t>
  </si>
  <si>
    <t>sensitivity_13_F</t>
  </si>
  <si>
    <t>Sensitivity!F13</t>
  </si>
  <si>
    <t>sensitivity_calculation_G13</t>
  </si>
  <si>
    <t>Independent current-coordinate calculation for Sensitivity!G13.</t>
  </si>
  <si>
    <t>sensitivity_13_G</t>
  </si>
  <si>
    <t>Sensitivity!G13</t>
  </si>
  <si>
    <t>sensitivity_calculation_H13</t>
  </si>
  <si>
    <t>Independent current-coordinate calculation for Sensitivity!H13.</t>
  </si>
  <si>
    <t>sensitivity_13_H</t>
  </si>
  <si>
    <t>Sensitivity!H13</t>
  </si>
  <si>
    <t>sensitivity_center</t>
  </si>
  <si>
    <t>Conditional / input warning</t>
  </si>
  <si>
    <t>Reconcile only when the displayed center coordinates equal the headline WACC and terminal growth.</t>
  </si>
  <si>
    <t>sensitivity_growth_coordinate_order</t>
  </si>
  <si>
    <t>sensitivity coordinates — Base</t>
  </si>
  <si>
    <t>Duplicate or unordered growth coordinates are an input warning; cell arithmetic is evaluated separately.</t>
  </si>
  <si>
    <t>sensitivity_wacc_coordinate_order</t>
  </si>
  <si>
    <t>Duplicate or unordered WACC coordinates are an input warning; cell arithmetic is evaluated separately.</t>
  </si>
  <si>
    <t>sensitivity_growth_monotonicity_9</t>
  </si>
  <si>
    <t>Sensitivity!D9:H9</t>
  </si>
  <si>
    <t>sensitivity_growth_monotonicity_10</t>
  </si>
  <si>
    <t>Sensitivity!D10:H10</t>
  </si>
  <si>
    <t>sensitivity_growth_monotonicity_11</t>
  </si>
  <si>
    <t>Sensitivity!D11:H11</t>
  </si>
  <si>
    <t>sensitivity_growth_monotonicity_12</t>
  </si>
  <si>
    <t>Sensitivity!D12:H12</t>
  </si>
  <si>
    <t>sensitivity_growth_monotonicity_13</t>
  </si>
  <si>
    <t>Sensitivity!D13:H13</t>
  </si>
  <si>
    <t>sensitivity_wacc_monotonicity_D</t>
  </si>
  <si>
    <t>Sensitivity!D9:D13</t>
  </si>
  <si>
    <t>sensitivity_wacc_monotonicity_E</t>
  </si>
  <si>
    <t>Sensitivity!E9:E13</t>
  </si>
  <si>
    <t>sensitivity_wacc_monotonicity_F</t>
  </si>
  <si>
    <t>Sensitivity!F9:F13</t>
  </si>
  <si>
    <t>sensitivity_wacc_monotonicity_G</t>
  </si>
  <si>
    <t>Sensitivity!G9:G13</t>
  </si>
  <si>
    <t>sensitivity_wacc_monotonicity_H</t>
  </si>
  <si>
    <t>Sensitivity!H9:H13</t>
  </si>
  <si>
    <t>formula_error_scan</t>
  </si>
  <si>
    <t>structure — workbook</t>
  </si>
  <si>
    <t>Formula-bearing ranges</t>
  </si>
  <si>
    <t>external_workbook_links</t>
  </si>
  <si>
    <t>structure — package</t>
  </si>
  <si>
    <t>Verified by package inspection</t>
  </si>
  <si>
    <t>data_connections</t>
  </si>
  <si>
    <t>vba_macros</t>
  </si>
  <si>
    <t>terminal_value_dependence_bear</t>
  </si>
  <si>
    <t>Valuation warning</t>
  </si>
  <si>
    <t>terminal value — bear</t>
  </si>
  <si>
    <t>warning &gt;75%; strong warning &gt;80%</t>
  </si>
  <si>
    <t>Dependence observation; does not block valuation output.</t>
  </si>
  <si>
    <t>terminal_value_dependence_base</t>
  </si>
  <si>
    <t>terminal value — base</t>
  </si>
  <si>
    <t>terminal_value_dependence_bull</t>
  </si>
  <si>
    <t>terminal value — bull</t>
  </si>
  <si>
    <t>Nike valuation model</t>
  </si>
  <si>
    <t>Independent portfolio analysis based on reconciled SEC-derived history and approved analyst scenarios</t>
  </si>
  <si>
    <t>Illustrative value comparison</t>
  </si>
  <si>
    <t>Case</t>
  </si>
  <si>
    <t>Value per share</t>
  </si>
  <si>
    <t>Reference price</t>
  </si>
  <si>
    <t>Selected-scenario outputs</t>
  </si>
  <si>
    <t>Terminal growth</t>
  </si>
  <si>
    <t>PV terminal value / enterprise value</t>
  </si>
  <si>
    <t>Canonical publication status</t>
  </si>
  <si>
    <t>Navigation</t>
  </si>
  <si>
    <t>Sources</t>
  </si>
  <si>
    <t>Historical</t>
  </si>
  <si>
    <t>Scenarios</t>
  </si>
  <si>
    <t>DCF</t>
  </si>
  <si>
    <t>Sensitivity</t>
  </si>
  <si>
    <t>Checks</t>
  </si>
  <si>
    <t>Annual-model approximation: FY2027 FCFF covers the full fiscal year; Sep. 4 is the discount anchor, while equity-bridge balances remain at May 31. Checks separate mechanical integrity from reconciliation to the approved snapshot. This is not an investment recommendation or price target.</t>
  </si>
  <si>
    <t>Formatting legend</t>
  </si>
  <si>
    <t>Editable assumption or control</t>
  </si>
  <si>
    <t>Same-sheet formula</t>
  </si>
  <si>
    <t>Internal cross-sheet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</si>
</sst>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 d\,\ yyyy"/>
    <numFmt numFmtId="165" formatCode="\$0.00;\(\$0.00\);\-"/>
    <numFmt numFmtId="166" formatCode="_(* #,##0.0_);_(* \(#,##0.0\);_(* &quot;-&quot;_);_(@_)"/>
    <numFmt numFmtId="167" formatCode="0.000000%"/>
    <numFmt numFmtId="168" formatCode="_(* 0.0%_);_(* \(0.0%\);_(* &quot;-&quot;_);_(@_)"/>
    <numFmt numFmtId="169" formatCode="0.00&quot;x&quot;"/>
  </numFmts>
  <fonts count="13" x14ac:knownFonts="1">
    <font>
      <sz val="11"/>
      <color theme="1"/>
      <name val="Calibri"/>
      <family val="2"/>
      <scheme val="minor"/>
    </font>
    <font>
      <b/>
      <sz val="15"/>
      <color rgb="FF222222"/>
      <name val="Arial"/>
      <family val="2"/>
    </font>
    <font>
      <i/>
      <sz val="10"/>
      <color rgb="FF666666"/>
      <name val="Arial"/>
      <family val="2"/>
    </font>
    <font>
      <b/>
      <sz val="10"/>
      <color rgb="FF222222"/>
      <name val="Arial"/>
      <family val="2"/>
    </font>
    <font>
      <sz val="10"/>
      <color rgb="FF0000FF"/>
      <name val="Arial"/>
      <family val="2"/>
    </font>
    <font>
      <sz val="10"/>
      <color rgb="FF222222"/>
      <name val="Arial"/>
      <family val="2"/>
    </font>
    <font>
      <b/>
      <sz val="10"/>
      <color rgb="FFFFFFFF"/>
      <name val="Arial"/>
      <family val="2"/>
    </font>
    <font>
      <b/>
      <sz val="12"/>
      <color rgb="FF222222"/>
      <name val="Arial"/>
      <family val="2"/>
    </font>
    <font>
      <sz val="10"/>
      <color rgb="FF000000"/>
      <name val="Arial"/>
      <family val="2"/>
    </font>
    <font>
      <u/>
      <sz val="10"/>
      <color rgb="FF0563C1"/>
      <name val="Arial"/>
      <family val="2"/>
    </font>
    <font>
      <sz val="10"/>
      <color rgb="FF008000"/>
      <name val="Arial"/>
      <family val="2"/>
    </font>
    <font>
      <b/>
      <sz val="10"/>
      <color rgb="FF006100"/>
      <name val="Arial"/>
      <family val="2"/>
    </font>
    <font>
      <b/>
      <sz val="10"/>
      <color rgb="FF9C65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17365D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4" fillId="3" borderId="0" xfId="0" applyFont="1" applyFill="1"/>
    <xf numFmtId="0" fontId="5" fillId="0" borderId="0" xfId="0" applyFont="1"/>
    <xf numFmtId="164" fontId="5" fillId="0" borderId="0" xfId="0" applyNumberFormat="1" applyFont="1"/>
    <xf numFmtId="0" fontId="6" fillId="4" borderId="3" xfId="0" applyFont="1" applyFill="1" applyBorder="1"/>
    <xf numFmtId="0" fontId="6" fillId="4" borderId="4" xfId="0" applyFont="1" applyFill="1" applyBorder="1" applyAlignment="1">
      <alignment horizontal="center" vertical="center"/>
    </xf>
    <xf numFmtId="165" fontId="7" fillId="0" borderId="0" xfId="0" applyNumberFormat="1" applyFont="1"/>
    <xf numFmtId="166" fontId="8" fillId="0" borderId="0" xfId="0" applyNumberFormat="1" applyFont="1"/>
    <xf numFmtId="167" fontId="5" fillId="0" borderId="0" xfId="0" applyNumberFormat="1" applyFont="1"/>
    <xf numFmtId="168" fontId="5" fillId="0" borderId="0" xfId="0" applyNumberFormat="1" applyFont="1"/>
    <xf numFmtId="0" fontId="7" fillId="0" borderId="0" xfId="0" applyFont="1"/>
    <xf numFmtId="0" fontId="9" fillId="0" borderId="0" xfId="0" applyFont="1"/>
    <xf numFmtId="0" fontId="2" fillId="0" borderId="0" xfId="0" applyFont="1" applyAlignment="1">
      <alignment vertical="top" wrapText="1"/>
    </xf>
    <xf numFmtId="0" fontId="8" fillId="0" borderId="0" xfId="0" applyFont="1"/>
    <xf numFmtId="0" fontId="10" fillId="0" borderId="0" xfId="0" applyFont="1"/>
    <xf numFmtId="0" fontId="5" fillId="0" borderId="0" xfId="0" applyFont="1" applyAlignment="1">
      <alignment vertical="top" wrapText="1"/>
    </xf>
    <xf numFmtId="168" fontId="4" fillId="3" borderId="0" xfId="0" applyNumberFormat="1" applyFont="1" applyFill="1"/>
    <xf numFmtId="166" fontId="5" fillId="0" borderId="0" xfId="0" applyNumberFormat="1" applyFont="1"/>
    <xf numFmtId="166" fontId="10" fillId="0" borderId="0" xfId="0" applyNumberFormat="1" applyFont="1"/>
    <xf numFmtId="168" fontId="10" fillId="0" borderId="0" xfId="0" applyNumberFormat="1" applyFont="1"/>
    <xf numFmtId="168" fontId="8" fillId="0" borderId="0" xfId="0" applyNumberFormat="1" applyFont="1"/>
    <xf numFmtId="165" fontId="5" fillId="0" borderId="0" xfId="0" applyNumberFormat="1" applyFont="1"/>
    <xf numFmtId="169" fontId="5" fillId="0" borderId="0" xfId="0" applyNumberFormat="1" applyFont="1"/>
    <xf numFmtId="166" fontId="3" fillId="0" borderId="5" xfId="0" applyNumberFormat="1" applyFont="1" applyBorder="1"/>
    <xf numFmtId="165" fontId="8" fillId="0" borderId="0" xfId="0" applyNumberFormat="1" applyFont="1"/>
    <xf numFmtId="165" fontId="3" fillId="0" borderId="5" xfId="0" applyNumberFormat="1" applyFont="1" applyBorder="1"/>
    <xf numFmtId="0" fontId="11" fillId="5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6">
    <dxf>
      <font>
        <b/>
        <color rgb="FF006100"/>
      </font>
      <fill>
        <patternFill>
          <bgColor rgb="FFC6EF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Illustrative value per share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Illustrative value per share</c:v>
          </c:tx>
          <c:spPr>
            <a:solidFill>
              <a:srgbClr val="4472C4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55A11"/>
              </a:solidFill>
            </c:spPr>
            <c:extLst>
              <c:ext xmlns:c16="http://schemas.microsoft.com/office/drawing/2014/chart" uri="{C3380CC4-5D6E-409C-BE32-E72D297353CC}">
                <c16:uniqueId val="{00000000-5B85-4F1E-B0A0-85496636E20F}"/>
              </c:ext>
            </c:extLst>
          </c:dPt>
          <c:dPt>
            <c:idx val="1"/>
            <c:invertIfNegative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5B85-4F1E-B0A0-85496636E20F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2-5B85-4F1E-B0A0-85496636E20F}"/>
              </c:ext>
            </c:extLst>
          </c:dPt>
          <c:dPt>
            <c:idx val="3"/>
            <c:invertIfNegative val="0"/>
            <c:bubble3D val="0"/>
            <c:spPr>
              <a:solidFill>
                <a:srgbClr val="7F7F7F"/>
              </a:solidFill>
            </c:spPr>
            <c:extLst>
              <c:ext xmlns:c16="http://schemas.microsoft.com/office/drawing/2014/chart" uri="{C3380CC4-5D6E-409C-BE32-E72D297353CC}">
                <c16:uniqueId val="{00000003-5B85-4F1E-B0A0-85496636E20F}"/>
              </c:ext>
            </c:extLst>
          </c:dPt>
          <c:dLbls>
            <c:numFmt formatCode="\$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Cover!$B$15:$B$18</c:f>
              <c:strCache>
                <c:ptCount val="4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  <c:pt idx="3">
                  <c:v>Reference price</c:v>
                </c:pt>
              </c:strCache>
            </c:strRef>
          </c:cat>
          <c:val>
            <c:numRef>
              <c:f>Cover!$D$15:$D$18</c:f>
              <c:numCache>
                <c:formatCode>\$0.00;\(\$0.00\);\-</c:formatCode>
                <c:ptCount val="4"/>
                <c:pt idx="0">
                  <c:v>30.057413517212076</c:v>
                </c:pt>
                <c:pt idx="1">
                  <c:v>47.80676026082299</c:v>
                </c:pt>
                <c:pt idx="2">
                  <c:v>59.547616920146872</c:v>
                </c:pt>
                <c:pt idx="3">
                  <c:v>38.4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85-4F1E-B0A0-85496636E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per share</a:t>
                </a:r>
              </a:p>
            </c:rich>
          </c:tx>
          <c:overlay val="0"/>
        </c:title>
        <c:numFmt formatCode="\$0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13</xdr:col>
      <xdr:colOff>266700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ValuationInputs" displayName="tblValuationInputs" ref="A6:J40" totalsRowShown="0">
  <autoFilter ref="A6:J40" xr:uid="{00000000-0009-0000-0100-000001000000}"/>
  <tableColumns count="10">
    <tableColumn id="1" xr3:uid="{00000000-0010-0000-0000-000001000000}" name="Assumption Id"/>
    <tableColumn id="2" xr3:uid="{00000000-0010-0000-0000-000002000000}" name="Category"/>
    <tableColumn id="3" xr3:uid="{00000000-0010-0000-0000-000003000000}" name="Input Name"/>
    <tableColumn id="4" xr3:uid="{00000000-0010-0000-0000-000004000000}" name="Value"/>
    <tableColumn id="5" xr3:uid="{00000000-0010-0000-0000-000005000000}" name="Unit"/>
    <tableColumn id="6" xr3:uid="{00000000-0010-0000-0000-000006000000}" name="Observation Date"/>
    <tableColumn id="7" xr3:uid="{00000000-0010-0000-0000-000007000000}" name="Source Ids"/>
    <tableColumn id="8" xr3:uid="{00000000-0010-0000-0000-000008000000}" name="Source Type"/>
    <tableColumn id="9" xr3:uid="{00000000-0010-0000-0000-000009000000}" name="Owner Status"/>
    <tableColumn id="10" xr3:uid="{00000000-0010-0000-0000-00000A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ValuationSources" displayName="tblValuationSources" ref="A44:L55" totalsRowShown="0">
  <autoFilter ref="A44:L55" xr:uid="{00000000-0009-0000-0100-000002000000}"/>
  <tableColumns count="12">
    <tableColumn id="1" xr3:uid="{00000000-0010-0000-0100-000001000000}" name="Source Id"/>
    <tableColumn id="2" xr3:uid="{00000000-0010-0000-0100-000002000000}" name="Category"/>
    <tableColumn id="3" xr3:uid="{00000000-0010-0000-0100-000003000000}" name="Title"/>
    <tableColumn id="4" xr3:uid="{00000000-0010-0000-0100-000004000000}" name="Publisher"/>
    <tableColumn id="5" xr3:uid="{00000000-0010-0000-0100-000005000000}" name="Source Type"/>
    <tableColumn id="6" xr3:uid="{00000000-0010-0000-0100-000006000000}" name="Publication Date"/>
    <tableColumn id="7" xr3:uid="{00000000-0010-0000-0100-000007000000}" name="Observation Date"/>
    <tableColumn id="8" xr3:uid="{00000000-0010-0000-0100-000008000000}" name="Information Cutoff"/>
    <tableColumn id="9" xr3:uid="{00000000-0010-0000-0100-000009000000}" name="Url Or Accession"/>
    <tableColumn id="10" xr3:uid="{00000000-0010-0000-0100-00000A000000}" name="Fields Supported"/>
    <tableColumn id="11" xr3:uid="{00000000-0010-0000-0100-00000B000000}" name="Retrieval Date"/>
    <tableColumn id="12" xr3:uid="{00000000-0010-0000-0100-00000C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cenarioAssumptions" displayName="tblScenarioAssumptions" ref="A59:K164" totalsRowShown="0">
  <autoFilter ref="A59:K164" xr:uid="{00000000-0009-0000-0100-000003000000}"/>
  <tableColumns count="11">
    <tableColumn id="1" xr3:uid="{00000000-0010-0000-0200-000001000000}" name="Scenario"/>
    <tableColumn id="2" xr3:uid="{00000000-0010-0000-0200-000002000000}" name="Fiscal Year"/>
    <tableColumn id="3" xr3:uid="{00000000-0010-0000-0200-000003000000}" name="Driver"/>
    <tableColumn id="4" xr3:uid="{00000000-0010-0000-0200-000004000000}" name="Value"/>
    <tableColumn id="5" xr3:uid="{00000000-0010-0000-0200-000005000000}" name="Unit"/>
    <tableColumn id="6" xr3:uid="{00000000-0010-0000-0200-000006000000}" name="Historical Anchor"/>
    <tableColumn id="7" xr3:uid="{00000000-0010-0000-0200-000007000000}" name="Rationale"/>
    <tableColumn id="8" xr3:uid="{00000000-0010-0000-0200-000008000000}" name="Source Id"/>
    <tableColumn id="9" xr3:uid="{00000000-0010-0000-0200-000009000000}" name="Source Type"/>
    <tableColumn id="10" xr3:uid="{00000000-0010-0000-0200-00000A000000}" name="Owner Status"/>
    <tableColumn id="11" xr3:uid="{00000000-0010-0000-02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7"/>
  <sheetViews>
    <sheetView showGridLines="0" tabSelected="1" zoomScale="95" zoomScaleNormal="95" workbookViewId="0"/>
  </sheetViews>
  <sheetFormatPr defaultRowHeight="14.25" x14ac:dyDescent="0.45"/>
  <cols>
    <col min="1" max="1" width="2.73046875" customWidth="1"/>
    <col min="2" max="2" width="34.73046875" customWidth="1"/>
    <col min="3" max="3" width="4.73046875" customWidth="1"/>
    <col min="4" max="4" width="20.73046875" customWidth="1"/>
    <col min="5" max="6" width="3.73046875" customWidth="1"/>
    <col min="7" max="14" width="13.73046875" customWidth="1"/>
  </cols>
  <sheetData>
    <row r="2" spans="2:14" ht="23" customHeight="1" x14ac:dyDescent="0.5">
      <c r="B2" s="1" t="s">
        <v>1037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x14ac:dyDescent="0.45">
      <c r="B3" s="2" t="s">
        <v>1038</v>
      </c>
    </row>
    <row r="6" spans="2:14" x14ac:dyDescent="0.45">
      <c r="B6" s="3" t="s">
        <v>547</v>
      </c>
      <c r="D6" s="4" t="s">
        <v>397</v>
      </c>
    </row>
    <row r="8" spans="2:14" x14ac:dyDescent="0.45">
      <c r="B8" s="5" t="s">
        <v>400</v>
      </c>
      <c r="D8" s="6">
        <f>ModelDate</f>
        <v>46269</v>
      </c>
    </row>
    <row r="9" spans="2:14" x14ac:dyDescent="0.45">
      <c r="B9" s="5" t="s">
        <v>401</v>
      </c>
      <c r="D9" s="6">
        <f>InformationCutoff</f>
        <v>46272</v>
      </c>
    </row>
    <row r="10" spans="2:14" x14ac:dyDescent="0.45">
      <c r="B10" s="5" t="s">
        <v>402</v>
      </c>
      <c r="D10" s="6">
        <f>ReferenceMarketDate</f>
        <v>46269</v>
      </c>
    </row>
    <row r="13" spans="2:14" x14ac:dyDescent="0.45">
      <c r="B13" s="7" t="s">
        <v>1039</v>
      </c>
      <c r="C13" s="7"/>
      <c r="D13" s="7"/>
    </row>
    <row r="14" spans="2:14" x14ac:dyDescent="0.45">
      <c r="B14" s="8" t="s">
        <v>1040</v>
      </c>
      <c r="D14" s="8" t="s">
        <v>1041</v>
      </c>
    </row>
    <row r="15" spans="2:14" ht="15.4" x14ac:dyDescent="0.45">
      <c r="B15" s="5" t="s">
        <v>396</v>
      </c>
      <c r="D15" s="9">
        <f>BearValuePerShare</f>
        <v>30.057413517212076</v>
      </c>
    </row>
    <row r="16" spans="2:14" ht="15.4" x14ac:dyDescent="0.45">
      <c r="B16" s="5" t="s">
        <v>397</v>
      </c>
      <c r="D16" s="9">
        <f>BaseValuePerShare</f>
        <v>47.80676026082299</v>
      </c>
    </row>
    <row r="17" spans="2:4" ht="15.4" x14ac:dyDescent="0.45">
      <c r="B17" s="5" t="s">
        <v>398</v>
      </c>
      <c r="D17" s="9">
        <f>BullValuePerShare</f>
        <v>59.547616920146872</v>
      </c>
    </row>
    <row r="18" spans="2:4" ht="15.4" x14ac:dyDescent="0.45">
      <c r="B18" s="5" t="s">
        <v>1042</v>
      </c>
      <c r="D18" s="9">
        <f>ReferenceMarketPrice</f>
        <v>38.4</v>
      </c>
    </row>
    <row r="21" spans="2:4" x14ac:dyDescent="0.45">
      <c r="B21" s="7" t="s">
        <v>1043</v>
      </c>
      <c r="C21" s="7"/>
      <c r="D21" s="7"/>
    </row>
    <row r="22" spans="2:4" x14ac:dyDescent="0.45">
      <c r="B22" s="5" t="s">
        <v>565</v>
      </c>
      <c r="D22" s="10">
        <f>SelectedEnterpriseValue</f>
        <v>69893.934953875854</v>
      </c>
    </row>
    <row r="23" spans="2:4" x14ac:dyDescent="0.45">
      <c r="B23" s="5" t="s">
        <v>569</v>
      </c>
      <c r="D23" s="10">
        <f>SelectedEquityValue</f>
        <v>70978.634953875851</v>
      </c>
    </row>
    <row r="24" spans="2:4" ht="15.4" x14ac:dyDescent="0.45">
      <c r="B24" s="5" t="s">
        <v>571</v>
      </c>
      <c r="D24" s="9">
        <f>SelectedValuePerShare</f>
        <v>47.80676026082299</v>
      </c>
    </row>
    <row r="25" spans="2:4" x14ac:dyDescent="0.45">
      <c r="B25" s="5" t="s">
        <v>529</v>
      </c>
      <c r="D25" s="11">
        <f>CalculatedWACC</f>
        <v>8.4874438275402905E-2</v>
      </c>
    </row>
    <row r="26" spans="2:4" x14ac:dyDescent="0.45">
      <c r="B26" s="5" t="s">
        <v>1044</v>
      </c>
      <c r="D26" s="12">
        <f>TerminalGrowth</f>
        <v>2.5000000000000001E-2</v>
      </c>
    </row>
    <row r="27" spans="2:4" x14ac:dyDescent="0.45">
      <c r="B27" s="5" t="s">
        <v>1045</v>
      </c>
      <c r="D27" s="12">
        <f>SelectedTerminalValueShare</f>
        <v>0.78207976009134761</v>
      </c>
    </row>
    <row r="28" spans="2:4" ht="15.4" x14ac:dyDescent="0.45">
      <c r="B28" s="5" t="s">
        <v>1046</v>
      </c>
      <c r="D28" s="13" t="str">
        <f>ModelStatus</f>
        <v>PASS WITH WARNINGS</v>
      </c>
    </row>
    <row r="31" spans="2:4" x14ac:dyDescent="0.45">
      <c r="B31" s="7" t="s">
        <v>1047</v>
      </c>
      <c r="C31" s="7"/>
      <c r="D31" s="7"/>
    </row>
    <row r="32" spans="2:4" x14ac:dyDescent="0.45">
      <c r="B32" s="14" t="s">
        <v>1048</v>
      </c>
    </row>
    <row r="33" spans="2:4" x14ac:dyDescent="0.45">
      <c r="B33" s="14" t="s">
        <v>1049</v>
      </c>
    </row>
    <row r="34" spans="2:4" x14ac:dyDescent="0.45">
      <c r="B34" s="14" t="s">
        <v>1050</v>
      </c>
    </row>
    <row r="35" spans="2:4" x14ac:dyDescent="0.45">
      <c r="B35" s="14" t="s">
        <v>602</v>
      </c>
    </row>
    <row r="36" spans="2:4" x14ac:dyDescent="0.45">
      <c r="B36" s="14" t="s">
        <v>1051</v>
      </c>
    </row>
    <row r="37" spans="2:4" x14ac:dyDescent="0.45">
      <c r="B37" s="14" t="s">
        <v>1052</v>
      </c>
    </row>
    <row r="38" spans="2:4" x14ac:dyDescent="0.45">
      <c r="B38" s="14" t="s">
        <v>1053</v>
      </c>
    </row>
    <row r="41" spans="2:4" ht="24" customHeight="1" x14ac:dyDescent="0.45">
      <c r="B41" s="31" t="s">
        <v>1054</v>
      </c>
      <c r="C41" s="31"/>
      <c r="D41" s="31"/>
    </row>
    <row r="42" spans="2:4" ht="24" customHeight="1" x14ac:dyDescent="0.45">
      <c r="B42" s="31"/>
      <c r="C42" s="31"/>
      <c r="D42" s="31"/>
    </row>
    <row r="43" spans="2:4" ht="24" customHeight="1" x14ac:dyDescent="0.45">
      <c r="B43" s="31"/>
      <c r="C43" s="31"/>
      <c r="D43" s="31"/>
    </row>
    <row r="44" spans="2:4" x14ac:dyDescent="0.45">
      <c r="B44" s="3" t="s">
        <v>1055</v>
      </c>
    </row>
    <row r="45" spans="2:4" x14ac:dyDescent="0.45">
      <c r="B45" s="4" t="s">
        <v>1056</v>
      </c>
    </row>
    <row r="46" spans="2:4" x14ac:dyDescent="0.45">
      <c r="B46" s="16" t="s">
        <v>1057</v>
      </c>
    </row>
    <row r="47" spans="2:4" x14ac:dyDescent="0.45">
      <c r="B47" s="17" t="s">
        <v>1058</v>
      </c>
    </row>
  </sheetData>
  <mergeCells count="1">
    <mergeCell ref="B41:D43"/>
  </mergeCells>
  <dataValidations count="1">
    <dataValidation type="list" allowBlank="1" showInputMessage="1" showErrorMessage="1" promptTitle="Scenario" prompt="Select Bear, Base, or Bull." sqref="D6" xr:uid="{00000000-0002-0000-0000-000000000000}">
      <formula1>ScenarioList</formula1>
    </dataValidation>
  </dataValidations>
  <hyperlinks>
    <hyperlink ref="B32" location="'Sources'!B2" display="Sources" xr:uid="{00000000-0004-0000-0000-000000000000}"/>
    <hyperlink ref="B33" location="'Historical'!B2" display="Historical" xr:uid="{00000000-0004-0000-0000-000001000000}"/>
    <hyperlink ref="B34" location="'Scenarios'!B2" display="Scenarios" xr:uid="{00000000-0004-0000-0000-000002000000}"/>
    <hyperlink ref="B35" location="'WACC'!B2" display="WACC" xr:uid="{00000000-0004-0000-0000-000003000000}"/>
    <hyperlink ref="B36" location="'DCF'!B2" display="DCF" xr:uid="{00000000-0004-0000-0000-000004000000}"/>
    <hyperlink ref="B37" location="'Sensitivity'!B2" display="Sensitivity" xr:uid="{00000000-0004-0000-0000-000005000000}"/>
    <hyperlink ref="B38" location="'Checks'!B2" display="Checks" xr:uid="{00000000-0004-0000-0000-000006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64"/>
  <sheetViews>
    <sheetView showGridLines="0" zoomScale="80" zoomScaleNormal="80" workbookViewId="0">
      <pane ySplit="6" topLeftCell="A7" activePane="bottomLeft" state="frozen"/>
      <selection pane="bottomLeft"/>
    </sheetView>
  </sheetViews>
  <sheetFormatPr defaultRowHeight="14.25" x14ac:dyDescent="0.45"/>
  <cols>
    <col min="1" max="1" width="12.73046875" customWidth="1"/>
    <col min="2" max="2" width="18.73046875" customWidth="1"/>
    <col min="3" max="3" width="34.73046875" customWidth="1"/>
    <col min="4" max="4" width="17.73046875" customWidth="1"/>
    <col min="5" max="5" width="16.73046875" customWidth="1"/>
    <col min="6" max="6" width="14.73046875" customWidth="1"/>
    <col min="7" max="9" width="22.73046875" customWidth="1"/>
    <col min="10" max="10" width="56.73046875" customWidth="1"/>
    <col min="11" max="12" width="18.73046875" customWidth="1"/>
    <col min="13" max="13" width="28.73046875" customWidth="1"/>
    <col min="14" max="14" width="35.73046875" customWidth="1"/>
  </cols>
  <sheetData>
    <row r="2" spans="1:14" ht="23" customHeight="1" x14ac:dyDescent="0.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45">
      <c r="B3" s="2" t="s">
        <v>1</v>
      </c>
    </row>
    <row r="6" spans="1:14" x14ac:dyDescent="0.45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M6" s="3" t="s">
        <v>395</v>
      </c>
    </row>
    <row r="7" spans="1:14" ht="25.5" x14ac:dyDescent="0.45">
      <c r="A7" s="5" t="s">
        <v>12</v>
      </c>
      <c r="B7" s="5" t="s">
        <v>13</v>
      </c>
      <c r="C7" s="5" t="s">
        <v>14</v>
      </c>
      <c r="D7" s="6">
        <v>46269</v>
      </c>
      <c r="E7" s="5" t="s">
        <v>15</v>
      </c>
      <c r="F7" s="6">
        <v>46269</v>
      </c>
      <c r="G7" s="5" t="s">
        <v>16</v>
      </c>
      <c r="H7" s="5" t="s">
        <v>17</v>
      </c>
      <c r="I7" s="5" t="s">
        <v>18</v>
      </c>
      <c r="J7" s="18" t="s">
        <v>19</v>
      </c>
      <c r="N7" s="5" t="s">
        <v>396</v>
      </c>
    </row>
    <row r="8" spans="1:14" ht="25.5" x14ac:dyDescent="0.45">
      <c r="A8" s="5" t="s">
        <v>20</v>
      </c>
      <c r="B8" s="5" t="s">
        <v>21</v>
      </c>
      <c r="C8" s="5" t="s">
        <v>22</v>
      </c>
      <c r="D8" s="6">
        <v>46269</v>
      </c>
      <c r="E8" s="5" t="s">
        <v>15</v>
      </c>
      <c r="F8" s="6">
        <v>46269</v>
      </c>
      <c r="G8" s="5" t="s">
        <v>23</v>
      </c>
      <c r="H8" s="5" t="s">
        <v>24</v>
      </c>
      <c r="I8" s="5" t="s">
        <v>18</v>
      </c>
      <c r="J8" s="18" t="s">
        <v>25</v>
      </c>
      <c r="N8" s="5" t="s">
        <v>397</v>
      </c>
    </row>
    <row r="9" spans="1:14" x14ac:dyDescent="0.45">
      <c r="A9" s="5" t="s">
        <v>26</v>
      </c>
      <c r="B9" s="5" t="s">
        <v>21</v>
      </c>
      <c r="C9" s="5" t="s">
        <v>27</v>
      </c>
      <c r="D9" s="4">
        <v>38.4</v>
      </c>
      <c r="E9" s="5" t="s">
        <v>28</v>
      </c>
      <c r="F9" s="6">
        <v>46269</v>
      </c>
      <c r="G9" s="5" t="s">
        <v>29</v>
      </c>
      <c r="H9" s="5" t="s">
        <v>24</v>
      </c>
      <c r="I9" s="5" t="s">
        <v>18</v>
      </c>
      <c r="J9" s="18" t="s">
        <v>30</v>
      </c>
      <c r="N9" s="5" t="s">
        <v>398</v>
      </c>
    </row>
    <row r="10" spans="1:14" x14ac:dyDescent="0.45">
      <c r="A10" s="5" t="s">
        <v>31</v>
      </c>
      <c r="B10" s="5" t="s">
        <v>32</v>
      </c>
      <c r="C10" s="5" t="s">
        <v>33</v>
      </c>
      <c r="D10" s="4">
        <v>281.38775199999998</v>
      </c>
      <c r="E10" s="5" t="s">
        <v>34</v>
      </c>
      <c r="F10" s="6">
        <v>46211</v>
      </c>
      <c r="G10" s="5" t="s">
        <v>35</v>
      </c>
      <c r="H10" s="5" t="s">
        <v>36</v>
      </c>
      <c r="I10" s="5" t="s">
        <v>18</v>
      </c>
      <c r="J10" s="18" t="s">
        <v>37</v>
      </c>
    </row>
    <row r="11" spans="1:14" x14ac:dyDescent="0.45">
      <c r="A11" s="5" t="s">
        <v>38</v>
      </c>
      <c r="B11" s="5" t="s">
        <v>32</v>
      </c>
      <c r="C11" s="5" t="s">
        <v>39</v>
      </c>
      <c r="D11" s="4">
        <v>1202.1109510000001</v>
      </c>
      <c r="E11" s="5" t="s">
        <v>34</v>
      </c>
      <c r="F11" s="6">
        <v>46211</v>
      </c>
      <c r="G11" s="5" t="s">
        <v>35</v>
      </c>
      <c r="H11" s="5" t="s">
        <v>36</v>
      </c>
      <c r="I11" s="5" t="s">
        <v>18</v>
      </c>
      <c r="J11" s="18" t="s">
        <v>40</v>
      </c>
    </row>
    <row r="12" spans="1:14" ht="25.5" x14ac:dyDescent="0.45">
      <c r="A12" s="5" t="s">
        <v>41</v>
      </c>
      <c r="B12" s="5" t="s">
        <v>32</v>
      </c>
      <c r="C12" s="5" t="s">
        <v>42</v>
      </c>
      <c r="D12" s="4">
        <v>1.2</v>
      </c>
      <c r="E12" s="5" t="s">
        <v>34</v>
      </c>
      <c r="F12" s="6">
        <v>46173</v>
      </c>
      <c r="G12" s="5" t="s">
        <v>43</v>
      </c>
      <c r="H12" s="5" t="s">
        <v>44</v>
      </c>
      <c r="I12" s="5" t="s">
        <v>18</v>
      </c>
      <c r="J12" s="18" t="s">
        <v>45</v>
      </c>
      <c r="M12" s="3" t="s">
        <v>399</v>
      </c>
    </row>
    <row r="13" spans="1:14" ht="25.5" x14ac:dyDescent="0.45">
      <c r="A13" s="5" t="s">
        <v>46</v>
      </c>
      <c r="B13" s="5" t="s">
        <v>47</v>
      </c>
      <c r="C13" s="5" t="s">
        <v>48</v>
      </c>
      <c r="D13" s="4">
        <v>7563</v>
      </c>
      <c r="E13" s="5" t="s">
        <v>49</v>
      </c>
      <c r="F13" s="6">
        <v>46173</v>
      </c>
      <c r="G13" s="5" t="s">
        <v>50</v>
      </c>
      <c r="H13" s="5" t="s">
        <v>36</v>
      </c>
      <c r="I13" s="5" t="s">
        <v>18</v>
      </c>
      <c r="J13" s="18" t="s">
        <v>51</v>
      </c>
      <c r="M13" s="5" t="s">
        <v>400</v>
      </c>
      <c r="N13" s="6">
        <v>46269</v>
      </c>
    </row>
    <row r="14" spans="1:14" x14ac:dyDescent="0.45">
      <c r="A14" s="5" t="s">
        <v>52</v>
      </c>
      <c r="B14" s="5" t="s">
        <v>47</v>
      </c>
      <c r="C14" s="5" t="s">
        <v>53</v>
      </c>
      <c r="D14" s="4">
        <v>1464</v>
      </c>
      <c r="E14" s="5" t="s">
        <v>49</v>
      </c>
      <c r="F14" s="6">
        <v>46173</v>
      </c>
      <c r="G14" s="5" t="s">
        <v>50</v>
      </c>
      <c r="H14" s="5" t="s">
        <v>36</v>
      </c>
      <c r="I14" s="5" t="s">
        <v>18</v>
      </c>
      <c r="J14" s="18" t="s">
        <v>54</v>
      </c>
      <c r="M14" s="5" t="s">
        <v>401</v>
      </c>
      <c r="N14" s="6">
        <v>46272</v>
      </c>
    </row>
    <row r="15" spans="1:14" ht="25.5" x14ac:dyDescent="0.45">
      <c r="A15" s="5" t="s">
        <v>55</v>
      </c>
      <c r="B15" s="5" t="s">
        <v>56</v>
      </c>
      <c r="C15" s="5" t="s">
        <v>57</v>
      </c>
      <c r="D15" s="4">
        <v>6800</v>
      </c>
      <c r="E15" s="5" t="s">
        <v>49</v>
      </c>
      <c r="F15" s="6">
        <v>46173</v>
      </c>
      <c r="G15" s="5" t="s">
        <v>43</v>
      </c>
      <c r="H15" s="5" t="s">
        <v>36</v>
      </c>
      <c r="I15" s="5" t="s">
        <v>18</v>
      </c>
      <c r="J15" s="18" t="s">
        <v>58</v>
      </c>
      <c r="M15" s="5" t="s">
        <v>402</v>
      </c>
      <c r="N15" s="6">
        <v>46269</v>
      </c>
    </row>
    <row r="16" spans="1:14" ht="25.5" x14ac:dyDescent="0.45">
      <c r="A16" s="5" t="s">
        <v>59</v>
      </c>
      <c r="B16" s="5" t="s">
        <v>56</v>
      </c>
      <c r="C16" s="5" t="s">
        <v>60</v>
      </c>
      <c r="D16" s="4">
        <v>7942</v>
      </c>
      <c r="E16" s="5" t="s">
        <v>49</v>
      </c>
      <c r="F16" s="6">
        <v>46173</v>
      </c>
      <c r="G16" s="5" t="s">
        <v>61</v>
      </c>
      <c r="H16" s="5" t="s">
        <v>36</v>
      </c>
      <c r="I16" s="5" t="s">
        <v>18</v>
      </c>
      <c r="J16" s="18" t="s">
        <v>62</v>
      </c>
      <c r="M16" s="5" t="s">
        <v>403</v>
      </c>
      <c r="N16" s="5" t="s">
        <v>404</v>
      </c>
    </row>
    <row r="17" spans="1:14" ht="25.5" x14ac:dyDescent="0.45">
      <c r="A17" s="5" t="s">
        <v>63</v>
      </c>
      <c r="B17" s="5" t="s">
        <v>47</v>
      </c>
      <c r="C17" s="5" t="s">
        <v>64</v>
      </c>
      <c r="D17" s="4">
        <v>0.3</v>
      </c>
      <c r="E17" s="5" t="s">
        <v>49</v>
      </c>
      <c r="F17" s="6">
        <v>46173</v>
      </c>
      <c r="G17" s="5" t="s">
        <v>43</v>
      </c>
      <c r="H17" s="5" t="s">
        <v>36</v>
      </c>
      <c r="I17" s="5" t="s">
        <v>18</v>
      </c>
      <c r="J17" s="18" t="s">
        <v>65</v>
      </c>
      <c r="M17" s="5" t="s">
        <v>405</v>
      </c>
      <c r="N17" s="5" t="s">
        <v>406</v>
      </c>
    </row>
    <row r="18" spans="1:14" ht="25.5" x14ac:dyDescent="0.45">
      <c r="A18" s="5" t="s">
        <v>66</v>
      </c>
      <c r="B18" s="5" t="s">
        <v>67</v>
      </c>
      <c r="C18" s="5" t="s">
        <v>68</v>
      </c>
      <c r="D18" s="4">
        <v>3091</v>
      </c>
      <c r="E18" s="5" t="s">
        <v>49</v>
      </c>
      <c r="F18" s="6">
        <v>46173</v>
      </c>
      <c r="G18" s="5" t="s">
        <v>61</v>
      </c>
      <c r="H18" s="5" t="s">
        <v>36</v>
      </c>
      <c r="I18" s="5" t="s">
        <v>18</v>
      </c>
      <c r="J18" s="18" t="s">
        <v>69</v>
      </c>
      <c r="M18" s="5" t="s">
        <v>407</v>
      </c>
      <c r="N18" s="5" t="s">
        <v>408</v>
      </c>
    </row>
    <row r="19" spans="1:14" x14ac:dyDescent="0.45">
      <c r="A19" s="5" t="s">
        <v>70</v>
      </c>
      <c r="B19" s="5" t="s">
        <v>71</v>
      </c>
      <c r="C19" s="5" t="s">
        <v>72</v>
      </c>
      <c r="D19" s="19">
        <v>4.7800000000000002E-2</v>
      </c>
      <c r="E19" s="5" t="s">
        <v>73</v>
      </c>
      <c r="F19" s="6">
        <v>46269</v>
      </c>
      <c r="G19" s="5" t="s">
        <v>74</v>
      </c>
      <c r="H19" s="5" t="s">
        <v>24</v>
      </c>
      <c r="I19" s="5" t="s">
        <v>18</v>
      </c>
      <c r="J19" s="18" t="s">
        <v>75</v>
      </c>
    </row>
    <row r="20" spans="1:14" x14ac:dyDescent="0.45">
      <c r="A20" s="5" t="s">
        <v>76</v>
      </c>
      <c r="B20" s="5" t="s">
        <v>71</v>
      </c>
      <c r="C20" s="5" t="s">
        <v>77</v>
      </c>
      <c r="D20" s="19">
        <v>4.1399999999999999E-2</v>
      </c>
      <c r="E20" s="5" t="s">
        <v>73</v>
      </c>
      <c r="F20" s="6">
        <v>46266</v>
      </c>
      <c r="G20" s="5" t="s">
        <v>78</v>
      </c>
      <c r="H20" s="5" t="s">
        <v>24</v>
      </c>
      <c r="I20" s="5" t="s">
        <v>18</v>
      </c>
      <c r="J20" s="18" t="s">
        <v>79</v>
      </c>
    </row>
    <row r="21" spans="1:14" x14ac:dyDescent="0.45">
      <c r="A21" s="5" t="s">
        <v>80</v>
      </c>
      <c r="B21" s="5" t="s">
        <v>71</v>
      </c>
      <c r="C21" s="5" t="s">
        <v>81</v>
      </c>
      <c r="D21" s="19">
        <v>7.7999999999999996E-3</v>
      </c>
      <c r="E21" s="5" t="s">
        <v>73</v>
      </c>
      <c r="F21" s="6">
        <v>46023</v>
      </c>
      <c r="G21" s="5" t="s">
        <v>82</v>
      </c>
      <c r="H21" s="5" t="s">
        <v>83</v>
      </c>
      <c r="I21" s="5" t="s">
        <v>18</v>
      </c>
      <c r="J21" s="18" t="s">
        <v>84</v>
      </c>
      <c r="M21" s="3" t="s">
        <v>409</v>
      </c>
    </row>
    <row r="22" spans="1:14" x14ac:dyDescent="0.45">
      <c r="A22" s="5" t="s">
        <v>85</v>
      </c>
      <c r="B22" s="5" t="s">
        <v>71</v>
      </c>
      <c r="C22" s="5" t="s">
        <v>86</v>
      </c>
      <c r="D22" s="19">
        <v>0.21</v>
      </c>
      <c r="E22" s="5" t="s">
        <v>73</v>
      </c>
      <c r="F22" s="6">
        <v>46173</v>
      </c>
      <c r="G22" s="5" t="s">
        <v>87</v>
      </c>
      <c r="H22" s="5" t="s">
        <v>17</v>
      </c>
      <c r="I22" s="5" t="s">
        <v>18</v>
      </c>
      <c r="J22" s="18" t="s">
        <v>88</v>
      </c>
      <c r="M22" s="5" t="s">
        <v>410</v>
      </c>
      <c r="N22" s="16">
        <f>ClassAShares+ClassBShares</f>
        <v>1483.4987030000002</v>
      </c>
    </row>
    <row r="23" spans="1:14" x14ac:dyDescent="0.45">
      <c r="A23" s="5" t="s">
        <v>89</v>
      </c>
      <c r="B23" s="5" t="s">
        <v>90</v>
      </c>
      <c r="C23" s="5" t="s">
        <v>91</v>
      </c>
      <c r="D23" s="4">
        <v>30538</v>
      </c>
      <c r="E23" s="5" t="s">
        <v>49</v>
      </c>
      <c r="F23" s="6">
        <v>46173</v>
      </c>
      <c r="G23" s="5" t="s">
        <v>35</v>
      </c>
      <c r="H23" s="5" t="s">
        <v>36</v>
      </c>
      <c r="I23" s="5" t="s">
        <v>18</v>
      </c>
      <c r="J23" s="18" t="s">
        <v>92</v>
      </c>
      <c r="M23" s="5" t="s">
        <v>411</v>
      </c>
      <c r="N23" s="16">
        <f>BasicShares+IncrementalDilutiveShares</f>
        <v>1484.6987030000003</v>
      </c>
    </row>
    <row r="24" spans="1:14" x14ac:dyDescent="0.45">
      <c r="A24" s="5" t="s">
        <v>93</v>
      </c>
      <c r="B24" s="5" t="s">
        <v>90</v>
      </c>
      <c r="C24" s="5" t="s">
        <v>94</v>
      </c>
      <c r="D24" s="4">
        <v>13497</v>
      </c>
      <c r="E24" s="5" t="s">
        <v>49</v>
      </c>
      <c r="F24" s="6">
        <v>46173</v>
      </c>
      <c r="G24" s="5" t="s">
        <v>35</v>
      </c>
      <c r="H24" s="5" t="s">
        <v>36</v>
      </c>
      <c r="I24" s="5" t="s">
        <v>18</v>
      </c>
      <c r="J24" s="18" t="s">
        <v>95</v>
      </c>
      <c r="M24" s="5" t="s">
        <v>412</v>
      </c>
      <c r="N24" s="10">
        <f>Sources!D13+Sources!D14</f>
        <v>9027</v>
      </c>
    </row>
    <row r="25" spans="1:14" x14ac:dyDescent="0.45">
      <c r="A25" s="5" t="s">
        <v>96</v>
      </c>
      <c r="B25" s="5" t="s">
        <v>90</v>
      </c>
      <c r="C25" s="5" t="s">
        <v>97</v>
      </c>
      <c r="D25" s="4">
        <v>2220</v>
      </c>
      <c r="E25" s="5" t="s">
        <v>49</v>
      </c>
      <c r="F25" s="6">
        <v>46173</v>
      </c>
      <c r="G25" s="5" t="s">
        <v>35</v>
      </c>
      <c r="H25" s="5" t="s">
        <v>36</v>
      </c>
      <c r="I25" s="5" t="s">
        <v>18</v>
      </c>
      <c r="J25" s="18" t="s">
        <v>98</v>
      </c>
    </row>
    <row r="26" spans="1:14" ht="25.5" x14ac:dyDescent="0.45">
      <c r="A26" s="5" t="s">
        <v>99</v>
      </c>
      <c r="B26" s="5" t="s">
        <v>90</v>
      </c>
      <c r="C26" s="5" t="s">
        <v>100</v>
      </c>
      <c r="D26" s="4">
        <v>143</v>
      </c>
      <c r="E26" s="5" t="s">
        <v>49</v>
      </c>
      <c r="F26" s="6">
        <v>46173</v>
      </c>
      <c r="G26" s="5" t="s">
        <v>35</v>
      </c>
      <c r="H26" s="5" t="s">
        <v>36</v>
      </c>
      <c r="I26" s="5" t="s">
        <v>18</v>
      </c>
      <c r="J26" s="18" t="s">
        <v>101</v>
      </c>
    </row>
    <row r="27" spans="1:14" x14ac:dyDescent="0.45">
      <c r="A27" s="5" t="s">
        <v>102</v>
      </c>
      <c r="B27" s="5" t="s">
        <v>90</v>
      </c>
      <c r="C27" s="5" t="s">
        <v>103</v>
      </c>
      <c r="D27" s="19">
        <v>1</v>
      </c>
      <c r="E27" s="5" t="s">
        <v>73</v>
      </c>
      <c r="F27" s="6">
        <v>46023</v>
      </c>
      <c r="G27" s="5" t="s">
        <v>104</v>
      </c>
      <c r="H27" s="5" t="s">
        <v>83</v>
      </c>
      <c r="I27" s="5" t="s">
        <v>18</v>
      </c>
      <c r="J27" s="18" t="s">
        <v>105</v>
      </c>
    </row>
    <row r="28" spans="1:14" x14ac:dyDescent="0.45">
      <c r="A28" s="5" t="s">
        <v>106</v>
      </c>
      <c r="B28" s="5" t="s">
        <v>90</v>
      </c>
      <c r="C28" s="5" t="s">
        <v>107</v>
      </c>
      <c r="D28" s="19">
        <v>0.79</v>
      </c>
      <c r="E28" s="5" t="s">
        <v>73</v>
      </c>
      <c r="F28" s="6">
        <v>46023</v>
      </c>
      <c r="G28" s="5" t="s">
        <v>104</v>
      </c>
      <c r="H28" s="5" t="s">
        <v>83</v>
      </c>
      <c r="I28" s="5" t="s">
        <v>18</v>
      </c>
      <c r="J28" s="18" t="s">
        <v>108</v>
      </c>
    </row>
    <row r="29" spans="1:14" x14ac:dyDescent="0.45">
      <c r="A29" s="5" t="s">
        <v>109</v>
      </c>
      <c r="B29" s="5" t="s">
        <v>90</v>
      </c>
      <c r="C29" s="5" t="s">
        <v>110</v>
      </c>
      <c r="D29" s="19">
        <v>0.74</v>
      </c>
      <c r="E29" s="5" t="s">
        <v>73</v>
      </c>
      <c r="F29" s="6">
        <v>46023</v>
      </c>
      <c r="G29" s="5" t="s">
        <v>104</v>
      </c>
      <c r="H29" s="5" t="s">
        <v>83</v>
      </c>
      <c r="I29" s="5" t="s">
        <v>18</v>
      </c>
      <c r="J29" s="18" t="s">
        <v>111</v>
      </c>
    </row>
    <row r="30" spans="1:14" ht="25.5" x14ac:dyDescent="0.45">
      <c r="A30" s="5" t="s">
        <v>112</v>
      </c>
      <c r="B30" s="5" t="s">
        <v>113</v>
      </c>
      <c r="C30" s="5" t="s">
        <v>114</v>
      </c>
      <c r="D30" s="19">
        <v>2.5000000000000001E-2</v>
      </c>
      <c r="E30" s="5" t="s">
        <v>73</v>
      </c>
      <c r="F30" s="6">
        <v>46272</v>
      </c>
      <c r="G30" s="5" t="s">
        <v>115</v>
      </c>
      <c r="H30" s="5" t="s">
        <v>17</v>
      </c>
      <c r="I30" s="5" t="s">
        <v>18</v>
      </c>
      <c r="J30" s="18" t="s">
        <v>116</v>
      </c>
    </row>
    <row r="31" spans="1:14" x14ac:dyDescent="0.45">
      <c r="A31" s="5" t="s">
        <v>117</v>
      </c>
      <c r="B31" s="5" t="s">
        <v>118</v>
      </c>
      <c r="C31" s="5" t="s">
        <v>119</v>
      </c>
      <c r="D31" s="19">
        <v>-0.01</v>
      </c>
      <c r="E31" s="5" t="s">
        <v>73</v>
      </c>
      <c r="F31" s="6">
        <v>46272</v>
      </c>
      <c r="G31" s="5" t="s">
        <v>120</v>
      </c>
      <c r="H31" s="5" t="s">
        <v>17</v>
      </c>
      <c r="I31" s="5" t="s">
        <v>18</v>
      </c>
      <c r="J31" s="18" t="s">
        <v>121</v>
      </c>
    </row>
    <row r="32" spans="1:14" x14ac:dyDescent="0.45">
      <c r="A32" s="5" t="s">
        <v>122</v>
      </c>
      <c r="B32" s="5" t="s">
        <v>118</v>
      </c>
      <c r="C32" s="5" t="s">
        <v>123</v>
      </c>
      <c r="D32" s="19">
        <v>-5.0000000000000001E-3</v>
      </c>
      <c r="E32" s="5" t="s">
        <v>73</v>
      </c>
      <c r="F32" s="6">
        <v>46272</v>
      </c>
      <c r="G32" s="5" t="s">
        <v>120</v>
      </c>
      <c r="H32" s="5" t="s">
        <v>17</v>
      </c>
      <c r="I32" s="5" t="s">
        <v>18</v>
      </c>
      <c r="J32" s="18" t="s">
        <v>121</v>
      </c>
    </row>
    <row r="33" spans="1:12" x14ac:dyDescent="0.45">
      <c r="A33" s="5" t="s">
        <v>124</v>
      </c>
      <c r="B33" s="5" t="s">
        <v>118</v>
      </c>
      <c r="C33" s="5" t="s">
        <v>125</v>
      </c>
      <c r="D33" s="19">
        <v>0</v>
      </c>
      <c r="E33" s="5" t="s">
        <v>73</v>
      </c>
      <c r="F33" s="6">
        <v>46272</v>
      </c>
      <c r="G33" s="5" t="s">
        <v>120</v>
      </c>
      <c r="H33" s="5" t="s">
        <v>17</v>
      </c>
      <c r="I33" s="5" t="s">
        <v>18</v>
      </c>
      <c r="J33" s="18" t="s">
        <v>126</v>
      </c>
    </row>
    <row r="34" spans="1:12" x14ac:dyDescent="0.45">
      <c r="A34" s="5" t="s">
        <v>127</v>
      </c>
      <c r="B34" s="5" t="s">
        <v>118</v>
      </c>
      <c r="C34" s="5" t="s">
        <v>128</v>
      </c>
      <c r="D34" s="19">
        <v>5.0000000000000001E-3</v>
      </c>
      <c r="E34" s="5" t="s">
        <v>73</v>
      </c>
      <c r="F34" s="6">
        <v>46272</v>
      </c>
      <c r="G34" s="5" t="s">
        <v>120</v>
      </c>
      <c r="H34" s="5" t="s">
        <v>17</v>
      </c>
      <c r="I34" s="5" t="s">
        <v>18</v>
      </c>
      <c r="J34" s="18" t="s">
        <v>121</v>
      </c>
    </row>
    <row r="35" spans="1:12" x14ac:dyDescent="0.45">
      <c r="A35" s="5" t="s">
        <v>129</v>
      </c>
      <c r="B35" s="5" t="s">
        <v>118</v>
      </c>
      <c r="C35" s="5" t="s">
        <v>130</v>
      </c>
      <c r="D35" s="19">
        <v>0.01</v>
      </c>
      <c r="E35" s="5" t="s">
        <v>73</v>
      </c>
      <c r="F35" s="6">
        <v>46272</v>
      </c>
      <c r="G35" s="5" t="s">
        <v>120</v>
      </c>
      <c r="H35" s="5" t="s">
        <v>17</v>
      </c>
      <c r="I35" s="5" t="s">
        <v>18</v>
      </c>
      <c r="J35" s="18" t="s">
        <v>121</v>
      </c>
    </row>
    <row r="36" spans="1:12" x14ac:dyDescent="0.45">
      <c r="A36" s="5" t="s">
        <v>131</v>
      </c>
      <c r="B36" s="5" t="s">
        <v>118</v>
      </c>
      <c r="C36" s="5" t="s">
        <v>132</v>
      </c>
      <c r="D36" s="19">
        <v>1.4999999999999999E-2</v>
      </c>
      <c r="E36" s="5" t="s">
        <v>73</v>
      </c>
      <c r="F36" s="6">
        <v>46272</v>
      </c>
      <c r="G36" s="5" t="s">
        <v>120</v>
      </c>
      <c r="H36" s="5" t="s">
        <v>17</v>
      </c>
      <c r="I36" s="5" t="s">
        <v>18</v>
      </c>
      <c r="J36" s="18" t="s">
        <v>133</v>
      </c>
    </row>
    <row r="37" spans="1:12" x14ac:dyDescent="0.45">
      <c r="A37" s="5" t="s">
        <v>134</v>
      </c>
      <c r="B37" s="5" t="s">
        <v>118</v>
      </c>
      <c r="C37" s="5" t="s">
        <v>135</v>
      </c>
      <c r="D37" s="19">
        <v>0.02</v>
      </c>
      <c r="E37" s="5" t="s">
        <v>73</v>
      </c>
      <c r="F37" s="6">
        <v>46272</v>
      </c>
      <c r="G37" s="5" t="s">
        <v>120</v>
      </c>
      <c r="H37" s="5" t="s">
        <v>17</v>
      </c>
      <c r="I37" s="5" t="s">
        <v>18</v>
      </c>
      <c r="J37" s="18" t="s">
        <v>133</v>
      </c>
    </row>
    <row r="38" spans="1:12" x14ac:dyDescent="0.45">
      <c r="A38" s="5" t="s">
        <v>136</v>
      </c>
      <c r="B38" s="5" t="s">
        <v>118</v>
      </c>
      <c r="C38" s="5" t="s">
        <v>137</v>
      </c>
      <c r="D38" s="19">
        <v>2.5000000000000001E-2</v>
      </c>
      <c r="E38" s="5" t="s">
        <v>73</v>
      </c>
      <c r="F38" s="6">
        <v>46272</v>
      </c>
      <c r="G38" s="5" t="s">
        <v>120</v>
      </c>
      <c r="H38" s="5" t="s">
        <v>17</v>
      </c>
      <c r="I38" s="5" t="s">
        <v>18</v>
      </c>
      <c r="J38" s="18" t="s">
        <v>138</v>
      </c>
    </row>
    <row r="39" spans="1:12" x14ac:dyDescent="0.45">
      <c r="A39" s="5" t="s">
        <v>139</v>
      </c>
      <c r="B39" s="5" t="s">
        <v>118</v>
      </c>
      <c r="C39" s="5" t="s">
        <v>140</v>
      </c>
      <c r="D39" s="19">
        <v>0.03</v>
      </c>
      <c r="E39" s="5" t="s">
        <v>73</v>
      </c>
      <c r="F39" s="6">
        <v>46272</v>
      </c>
      <c r="G39" s="5" t="s">
        <v>120</v>
      </c>
      <c r="H39" s="5" t="s">
        <v>17</v>
      </c>
      <c r="I39" s="5" t="s">
        <v>18</v>
      </c>
      <c r="J39" s="18" t="s">
        <v>133</v>
      </c>
    </row>
    <row r="40" spans="1:12" x14ac:dyDescent="0.45">
      <c r="A40" s="5" t="s">
        <v>141</v>
      </c>
      <c r="B40" s="5" t="s">
        <v>118</v>
      </c>
      <c r="C40" s="5" t="s">
        <v>142</v>
      </c>
      <c r="D40" s="19">
        <v>3.5000000000000003E-2</v>
      </c>
      <c r="E40" s="5" t="s">
        <v>73</v>
      </c>
      <c r="F40" s="6">
        <v>46272</v>
      </c>
      <c r="G40" s="5" t="s">
        <v>120</v>
      </c>
      <c r="H40" s="5" t="s">
        <v>17</v>
      </c>
      <c r="I40" s="5" t="s">
        <v>18</v>
      </c>
      <c r="J40" s="18" t="s">
        <v>133</v>
      </c>
    </row>
    <row r="44" spans="1:12" x14ac:dyDescent="0.45">
      <c r="A44" t="s">
        <v>143</v>
      </c>
      <c r="B44" t="s">
        <v>3</v>
      </c>
      <c r="C44" t="s">
        <v>144</v>
      </c>
      <c r="D44" t="s">
        <v>145</v>
      </c>
      <c r="E44" t="s">
        <v>9</v>
      </c>
      <c r="F44" t="s">
        <v>146</v>
      </c>
      <c r="G44" t="s">
        <v>7</v>
      </c>
      <c r="H44" t="s">
        <v>147</v>
      </c>
      <c r="I44" t="s">
        <v>148</v>
      </c>
      <c r="J44" t="s">
        <v>149</v>
      </c>
      <c r="K44" t="s">
        <v>150</v>
      </c>
      <c r="L44" t="s">
        <v>11</v>
      </c>
    </row>
    <row r="45" spans="1:12" ht="31.05" customHeight="1" x14ac:dyDescent="0.45">
      <c r="A45" s="5" t="s">
        <v>151</v>
      </c>
      <c r="B45" s="5" t="s">
        <v>152</v>
      </c>
      <c r="C45" s="18" t="s">
        <v>153</v>
      </c>
      <c r="D45" s="5" t="s">
        <v>154</v>
      </c>
      <c r="E45" s="5" t="s">
        <v>155</v>
      </c>
      <c r="F45" s="6">
        <v>46273</v>
      </c>
      <c r="G45" s="6">
        <v>46173</v>
      </c>
      <c r="H45" s="6">
        <v>46272</v>
      </c>
      <c r="I45" s="18" t="s">
        <v>156</v>
      </c>
      <c r="J45" s="18" t="s">
        <v>157</v>
      </c>
      <c r="K45" s="6">
        <v>46273</v>
      </c>
      <c r="L45" s="18" t="s">
        <v>158</v>
      </c>
    </row>
    <row r="46" spans="1:12" ht="31.05" customHeight="1" x14ac:dyDescent="0.45">
      <c r="A46" s="5" t="s">
        <v>35</v>
      </c>
      <c r="B46" s="5" t="s">
        <v>159</v>
      </c>
      <c r="C46" s="18" t="s">
        <v>160</v>
      </c>
      <c r="D46" s="5" t="s">
        <v>161</v>
      </c>
      <c r="E46" s="5" t="s">
        <v>162</v>
      </c>
      <c r="F46" s="6">
        <v>46218</v>
      </c>
      <c r="G46" s="6">
        <v>46173</v>
      </c>
      <c r="H46" s="6">
        <v>46272</v>
      </c>
      <c r="I46" s="18" t="s">
        <v>163</v>
      </c>
      <c r="J46" s="18" t="s">
        <v>164</v>
      </c>
      <c r="K46" s="6">
        <v>46273</v>
      </c>
      <c r="L46" s="18" t="s">
        <v>165</v>
      </c>
    </row>
    <row r="47" spans="1:12" ht="31.05" customHeight="1" x14ac:dyDescent="0.45">
      <c r="A47" s="5" t="s">
        <v>74</v>
      </c>
      <c r="B47" s="5" t="s">
        <v>166</v>
      </c>
      <c r="C47" s="18" t="s">
        <v>167</v>
      </c>
      <c r="D47" s="5" t="s">
        <v>168</v>
      </c>
      <c r="E47" s="5" t="s">
        <v>169</v>
      </c>
      <c r="F47" s="6">
        <v>46269</v>
      </c>
      <c r="G47" s="6">
        <v>46269</v>
      </c>
      <c r="H47" s="6">
        <v>46272</v>
      </c>
      <c r="I47" s="18" t="s">
        <v>170</v>
      </c>
      <c r="J47" s="18" t="s">
        <v>171</v>
      </c>
      <c r="K47" s="6">
        <v>46273</v>
      </c>
      <c r="L47" s="18" t="s">
        <v>172</v>
      </c>
    </row>
    <row r="48" spans="1:12" ht="31.05" customHeight="1" x14ac:dyDescent="0.45">
      <c r="A48" s="5" t="s">
        <v>173</v>
      </c>
      <c r="B48" s="5" t="s">
        <v>174</v>
      </c>
      <c r="C48" s="18" t="s">
        <v>175</v>
      </c>
      <c r="D48" s="5" t="s">
        <v>176</v>
      </c>
      <c r="E48" s="5" t="s">
        <v>177</v>
      </c>
      <c r="F48" s="6">
        <v>46023</v>
      </c>
      <c r="G48" s="6">
        <v>46272</v>
      </c>
      <c r="H48" s="6">
        <v>46272</v>
      </c>
      <c r="I48" s="18" t="s">
        <v>178</v>
      </c>
      <c r="J48" s="18" t="s">
        <v>179</v>
      </c>
      <c r="K48" s="6">
        <v>46273</v>
      </c>
      <c r="L48" s="18" t="s">
        <v>180</v>
      </c>
    </row>
    <row r="49" spans="1:12" ht="31.05" customHeight="1" x14ac:dyDescent="0.45">
      <c r="A49" s="5" t="s">
        <v>29</v>
      </c>
      <c r="B49" s="5" t="s">
        <v>181</v>
      </c>
      <c r="C49" s="18" t="s">
        <v>182</v>
      </c>
      <c r="D49" s="5" t="s">
        <v>183</v>
      </c>
      <c r="E49" s="5" t="s">
        <v>184</v>
      </c>
      <c r="F49" s="6">
        <v>46269</v>
      </c>
      <c r="G49" s="6">
        <v>46269</v>
      </c>
      <c r="H49" s="6">
        <v>46272</v>
      </c>
      <c r="I49" s="18" t="s">
        <v>185</v>
      </c>
      <c r="J49" s="18" t="s">
        <v>186</v>
      </c>
      <c r="K49" s="6">
        <v>46273</v>
      </c>
      <c r="L49" s="18" t="s">
        <v>187</v>
      </c>
    </row>
    <row r="50" spans="1:12" ht="31.05" customHeight="1" x14ac:dyDescent="0.45">
      <c r="A50" s="5" t="s">
        <v>78</v>
      </c>
      <c r="B50" s="5" t="s">
        <v>188</v>
      </c>
      <c r="C50" s="18" t="s">
        <v>189</v>
      </c>
      <c r="D50" s="5" t="s">
        <v>190</v>
      </c>
      <c r="E50" s="5" t="s">
        <v>191</v>
      </c>
      <c r="F50" s="6">
        <v>46266</v>
      </c>
      <c r="G50" s="6">
        <v>46266</v>
      </c>
      <c r="H50" s="6">
        <v>46272</v>
      </c>
      <c r="I50" s="18" t="s">
        <v>192</v>
      </c>
      <c r="J50" s="18" t="s">
        <v>193</v>
      </c>
      <c r="K50" s="6">
        <v>46273</v>
      </c>
      <c r="L50" s="18" t="s">
        <v>194</v>
      </c>
    </row>
    <row r="51" spans="1:12" ht="31.05" customHeight="1" x14ac:dyDescent="0.45">
      <c r="A51" s="5" t="s">
        <v>104</v>
      </c>
      <c r="B51" s="5" t="s">
        <v>90</v>
      </c>
      <c r="C51" s="18" t="s">
        <v>195</v>
      </c>
      <c r="D51" s="5" t="s">
        <v>190</v>
      </c>
      <c r="E51" s="5" t="s">
        <v>191</v>
      </c>
      <c r="F51" s="6">
        <v>46023</v>
      </c>
      <c r="G51" s="6">
        <v>46023</v>
      </c>
      <c r="H51" s="6">
        <v>46272</v>
      </c>
      <c r="I51" s="18" t="s">
        <v>196</v>
      </c>
      <c r="J51" s="18" t="s">
        <v>197</v>
      </c>
      <c r="K51" s="6">
        <v>46273</v>
      </c>
      <c r="L51" s="18" t="s">
        <v>198</v>
      </c>
    </row>
    <row r="52" spans="1:12" ht="31.05" customHeight="1" x14ac:dyDescent="0.45">
      <c r="A52" s="5" t="s">
        <v>199</v>
      </c>
      <c r="B52" s="5" t="s">
        <v>200</v>
      </c>
      <c r="C52" s="18" t="s">
        <v>201</v>
      </c>
      <c r="D52" s="5" t="s">
        <v>190</v>
      </c>
      <c r="E52" s="5" t="s">
        <v>191</v>
      </c>
      <c r="F52" s="6">
        <v>46023</v>
      </c>
      <c r="G52" s="6">
        <v>46023</v>
      </c>
      <c r="H52" s="6">
        <v>46272</v>
      </c>
      <c r="I52" s="18" t="s">
        <v>202</v>
      </c>
      <c r="J52" s="18" t="s">
        <v>203</v>
      </c>
      <c r="K52" s="6">
        <v>46273</v>
      </c>
      <c r="L52" s="18" t="s">
        <v>204</v>
      </c>
    </row>
    <row r="53" spans="1:12" ht="31.05" customHeight="1" x14ac:dyDescent="0.45">
      <c r="A53" s="5" t="s">
        <v>120</v>
      </c>
      <c r="B53" s="5" t="s">
        <v>205</v>
      </c>
      <c r="C53" s="18" t="s">
        <v>206</v>
      </c>
      <c r="D53" s="5" t="s">
        <v>207</v>
      </c>
      <c r="E53" s="5" t="s">
        <v>205</v>
      </c>
      <c r="F53" s="5"/>
      <c r="G53" s="6">
        <v>46273</v>
      </c>
      <c r="H53" s="6">
        <v>46272</v>
      </c>
      <c r="I53" s="18" t="s">
        <v>208</v>
      </c>
      <c r="J53" s="18" t="s">
        <v>209</v>
      </c>
      <c r="K53" s="6">
        <v>46273</v>
      </c>
      <c r="L53" s="18" t="s">
        <v>210</v>
      </c>
    </row>
    <row r="54" spans="1:12" ht="31.05" customHeight="1" x14ac:dyDescent="0.45">
      <c r="A54" s="5" t="s">
        <v>211</v>
      </c>
      <c r="B54" s="5" t="s">
        <v>212</v>
      </c>
      <c r="C54" s="18" t="s">
        <v>213</v>
      </c>
      <c r="D54" s="5" t="s">
        <v>214</v>
      </c>
      <c r="E54" s="5" t="s">
        <v>215</v>
      </c>
      <c r="F54" s="5"/>
      <c r="G54" s="6">
        <v>46272</v>
      </c>
      <c r="H54" s="6">
        <v>46272</v>
      </c>
      <c r="I54" s="18" t="s">
        <v>216</v>
      </c>
      <c r="J54" s="18" t="s">
        <v>217</v>
      </c>
      <c r="K54" s="6">
        <v>46273</v>
      </c>
      <c r="L54" s="18" t="s">
        <v>218</v>
      </c>
    </row>
    <row r="55" spans="1:12" ht="31.05" customHeight="1" x14ac:dyDescent="0.45">
      <c r="A55" s="5" t="s">
        <v>219</v>
      </c>
      <c r="B55" s="5" t="s">
        <v>220</v>
      </c>
      <c r="C55" s="18" t="s">
        <v>221</v>
      </c>
      <c r="D55" s="5" t="s">
        <v>222</v>
      </c>
      <c r="E55" s="5" t="s">
        <v>223</v>
      </c>
      <c r="F55" s="6">
        <v>46054</v>
      </c>
      <c r="G55" s="6">
        <v>46272</v>
      </c>
      <c r="H55" s="6">
        <v>46272</v>
      </c>
      <c r="I55" s="18" t="s">
        <v>224</v>
      </c>
      <c r="J55" s="18" t="s">
        <v>225</v>
      </c>
      <c r="K55" s="6">
        <v>46273</v>
      </c>
      <c r="L55" s="18" t="s">
        <v>226</v>
      </c>
    </row>
    <row r="59" spans="1:12" x14ac:dyDescent="0.45">
      <c r="A59" t="s">
        <v>227</v>
      </c>
      <c r="B59" t="s">
        <v>228</v>
      </c>
      <c r="C59" t="s">
        <v>229</v>
      </c>
      <c r="D59" t="s">
        <v>5</v>
      </c>
      <c r="E59" t="s">
        <v>6</v>
      </c>
      <c r="F59" t="s">
        <v>230</v>
      </c>
      <c r="G59" t="s">
        <v>231</v>
      </c>
      <c r="H59" t="s">
        <v>143</v>
      </c>
      <c r="I59" t="s">
        <v>9</v>
      </c>
      <c r="J59" t="s">
        <v>10</v>
      </c>
      <c r="K59" t="s">
        <v>11</v>
      </c>
    </row>
    <row r="60" spans="1:12" ht="38.25" x14ac:dyDescent="0.45">
      <c r="A60" s="5" t="s">
        <v>232</v>
      </c>
      <c r="B60" s="5" t="s">
        <v>233</v>
      </c>
      <c r="C60" s="5" t="s">
        <v>234</v>
      </c>
      <c r="D60" s="19">
        <v>-0.02</v>
      </c>
      <c r="E60" s="5" t="s">
        <v>73</v>
      </c>
      <c r="F60" s="18" t="s">
        <v>235</v>
      </c>
      <c r="G60" s="18" t="s">
        <v>236</v>
      </c>
      <c r="H60" s="5" t="s">
        <v>237</v>
      </c>
      <c r="I60" s="5" t="s">
        <v>238</v>
      </c>
      <c r="J60" s="5" t="s">
        <v>18</v>
      </c>
      <c r="K60" s="18" t="s">
        <v>239</v>
      </c>
    </row>
    <row r="61" spans="1:12" ht="51" x14ac:dyDescent="0.45">
      <c r="A61" s="5" t="s">
        <v>232</v>
      </c>
      <c r="B61" s="5" t="s">
        <v>233</v>
      </c>
      <c r="C61" s="5" t="s">
        <v>240</v>
      </c>
      <c r="D61" s="19">
        <v>0.42499999999999999</v>
      </c>
      <c r="E61" s="5" t="s">
        <v>73</v>
      </c>
      <c r="F61" s="18" t="s">
        <v>241</v>
      </c>
      <c r="G61" s="18" t="s">
        <v>242</v>
      </c>
      <c r="H61" s="5" t="s">
        <v>243</v>
      </c>
      <c r="I61" s="5" t="s">
        <v>238</v>
      </c>
      <c r="J61" s="5" t="s">
        <v>18</v>
      </c>
      <c r="K61" s="18" t="s">
        <v>239</v>
      </c>
    </row>
    <row r="62" spans="1:12" ht="38.25" x14ac:dyDescent="0.45">
      <c r="A62" s="5" t="s">
        <v>232</v>
      </c>
      <c r="B62" s="5" t="s">
        <v>233</v>
      </c>
      <c r="C62" s="5" t="s">
        <v>244</v>
      </c>
      <c r="D62" s="19">
        <v>0.35199999999999998</v>
      </c>
      <c r="E62" s="5" t="s">
        <v>73</v>
      </c>
      <c r="F62" s="18" t="s">
        <v>245</v>
      </c>
      <c r="G62" s="18" t="s">
        <v>246</v>
      </c>
      <c r="H62" s="5" t="s">
        <v>237</v>
      </c>
      <c r="I62" s="5" t="s">
        <v>238</v>
      </c>
      <c r="J62" s="5" t="s">
        <v>18</v>
      </c>
      <c r="K62" s="18" t="s">
        <v>239</v>
      </c>
    </row>
    <row r="63" spans="1:12" ht="38.25" x14ac:dyDescent="0.45">
      <c r="A63" s="5" t="s">
        <v>232</v>
      </c>
      <c r="B63" s="5" t="s">
        <v>233</v>
      </c>
      <c r="C63" s="5" t="s">
        <v>247</v>
      </c>
      <c r="D63" s="19">
        <v>0.21</v>
      </c>
      <c r="E63" s="5" t="s">
        <v>73</v>
      </c>
      <c r="F63" s="18" t="s">
        <v>248</v>
      </c>
      <c r="G63" s="18" t="s">
        <v>249</v>
      </c>
      <c r="H63" s="5" t="s">
        <v>237</v>
      </c>
      <c r="I63" s="5" t="s">
        <v>238</v>
      </c>
      <c r="J63" s="5" t="s">
        <v>18</v>
      </c>
      <c r="K63" s="18" t="s">
        <v>250</v>
      </c>
    </row>
    <row r="64" spans="1:12" ht="25.5" x14ac:dyDescent="0.45">
      <c r="A64" s="5" t="s">
        <v>232</v>
      </c>
      <c r="B64" s="5" t="s">
        <v>233</v>
      </c>
      <c r="C64" s="5" t="s">
        <v>251</v>
      </c>
      <c r="D64" s="19">
        <v>1.6E-2</v>
      </c>
      <c r="E64" s="5" t="s">
        <v>73</v>
      </c>
      <c r="F64" s="18" t="s">
        <v>252</v>
      </c>
      <c r="G64" s="18" t="s">
        <v>253</v>
      </c>
      <c r="H64" s="5" t="s">
        <v>254</v>
      </c>
      <c r="I64" s="5" t="s">
        <v>238</v>
      </c>
      <c r="J64" s="5" t="s">
        <v>18</v>
      </c>
      <c r="K64" s="18" t="s">
        <v>255</v>
      </c>
    </row>
    <row r="65" spans="1:11" ht="25.5" x14ac:dyDescent="0.45">
      <c r="A65" s="5" t="s">
        <v>232</v>
      </c>
      <c r="B65" s="5" t="s">
        <v>233</v>
      </c>
      <c r="C65" s="5" t="s">
        <v>256</v>
      </c>
      <c r="D65" s="19">
        <v>1.4999999999999999E-2</v>
      </c>
      <c r="E65" s="5" t="s">
        <v>73</v>
      </c>
      <c r="F65" s="18" t="s">
        <v>257</v>
      </c>
      <c r="G65" s="18" t="s">
        <v>258</v>
      </c>
      <c r="H65" s="5" t="s">
        <v>254</v>
      </c>
      <c r="I65" s="5" t="s">
        <v>238</v>
      </c>
      <c r="J65" s="5" t="s">
        <v>18</v>
      </c>
      <c r="K65" s="18" t="s">
        <v>255</v>
      </c>
    </row>
    <row r="66" spans="1:11" ht="38.25" x14ac:dyDescent="0.45">
      <c r="A66" s="5" t="s">
        <v>232</v>
      </c>
      <c r="B66" s="5" t="s">
        <v>233</v>
      </c>
      <c r="C66" s="5" t="s">
        <v>259</v>
      </c>
      <c r="D66" s="19">
        <v>0.111</v>
      </c>
      <c r="E66" s="5" t="s">
        <v>73</v>
      </c>
      <c r="F66" s="18" t="s">
        <v>260</v>
      </c>
      <c r="G66" s="18" t="s">
        <v>261</v>
      </c>
      <c r="H66" s="5" t="s">
        <v>243</v>
      </c>
      <c r="I66" s="5" t="s">
        <v>238</v>
      </c>
      <c r="J66" s="5" t="s">
        <v>18</v>
      </c>
      <c r="K66" s="18" t="s">
        <v>262</v>
      </c>
    </row>
    <row r="67" spans="1:11" ht="38.25" x14ac:dyDescent="0.45">
      <c r="A67" s="5" t="s">
        <v>232</v>
      </c>
      <c r="B67" s="5" t="s">
        <v>263</v>
      </c>
      <c r="C67" s="5" t="s">
        <v>234</v>
      </c>
      <c r="D67" s="19">
        <v>0.02</v>
      </c>
      <c r="E67" s="5" t="s">
        <v>73</v>
      </c>
      <c r="F67" s="18" t="s">
        <v>264</v>
      </c>
      <c r="G67" s="18" t="s">
        <v>265</v>
      </c>
      <c r="H67" s="5" t="s">
        <v>237</v>
      </c>
      <c r="I67" s="5" t="s">
        <v>238</v>
      </c>
      <c r="J67" s="5" t="s">
        <v>18</v>
      </c>
      <c r="K67" s="18" t="s">
        <v>255</v>
      </c>
    </row>
    <row r="68" spans="1:11" ht="38.25" x14ac:dyDescent="0.45">
      <c r="A68" s="5" t="s">
        <v>232</v>
      </c>
      <c r="B68" s="5" t="s">
        <v>263</v>
      </c>
      <c r="C68" s="5" t="s">
        <v>240</v>
      </c>
      <c r="D68" s="19">
        <v>0.432</v>
      </c>
      <c r="E68" s="5" t="s">
        <v>73</v>
      </c>
      <c r="F68" s="18" t="s">
        <v>266</v>
      </c>
      <c r="G68" s="18" t="s">
        <v>267</v>
      </c>
      <c r="H68" s="5" t="s">
        <v>243</v>
      </c>
      <c r="I68" s="5" t="s">
        <v>238</v>
      </c>
      <c r="J68" s="5" t="s">
        <v>18</v>
      </c>
      <c r="K68" s="18" t="s">
        <v>268</v>
      </c>
    </row>
    <row r="69" spans="1:11" ht="25.5" x14ac:dyDescent="0.45">
      <c r="A69" s="5" t="s">
        <v>232</v>
      </c>
      <c r="B69" s="5" t="s">
        <v>263</v>
      </c>
      <c r="C69" s="5" t="s">
        <v>244</v>
      </c>
      <c r="D69" s="19">
        <v>0.34499999999999997</v>
      </c>
      <c r="E69" s="5" t="s">
        <v>73</v>
      </c>
      <c r="F69" s="18" t="s">
        <v>269</v>
      </c>
      <c r="G69" s="18" t="s">
        <v>270</v>
      </c>
      <c r="H69" s="5" t="s">
        <v>237</v>
      </c>
      <c r="I69" s="5" t="s">
        <v>238</v>
      </c>
      <c r="J69" s="5" t="s">
        <v>18</v>
      </c>
      <c r="K69" s="18" t="s">
        <v>268</v>
      </c>
    </row>
    <row r="70" spans="1:11" ht="25.5" x14ac:dyDescent="0.45">
      <c r="A70" s="5" t="s">
        <v>232</v>
      </c>
      <c r="B70" s="5" t="s">
        <v>263</v>
      </c>
      <c r="C70" s="5" t="s">
        <v>247</v>
      </c>
      <c r="D70" s="19">
        <v>0.21</v>
      </c>
      <c r="E70" s="5" t="s">
        <v>73</v>
      </c>
      <c r="F70" s="18" t="s">
        <v>271</v>
      </c>
      <c r="G70" s="18" t="s">
        <v>272</v>
      </c>
      <c r="H70" s="5" t="s">
        <v>237</v>
      </c>
      <c r="I70" s="5" t="s">
        <v>238</v>
      </c>
      <c r="J70" s="5" t="s">
        <v>18</v>
      </c>
      <c r="K70" s="18" t="s">
        <v>250</v>
      </c>
    </row>
    <row r="71" spans="1:11" ht="25.5" x14ac:dyDescent="0.45">
      <c r="A71" s="5" t="s">
        <v>232</v>
      </c>
      <c r="B71" s="5" t="s">
        <v>263</v>
      </c>
      <c r="C71" s="5" t="s">
        <v>251</v>
      </c>
      <c r="D71" s="19">
        <v>1.6E-2</v>
      </c>
      <c r="E71" s="5" t="s">
        <v>73</v>
      </c>
      <c r="F71" s="18" t="s">
        <v>273</v>
      </c>
      <c r="G71" s="18" t="s">
        <v>274</v>
      </c>
      <c r="H71" s="5" t="s">
        <v>254</v>
      </c>
      <c r="I71" s="5" t="s">
        <v>238</v>
      </c>
      <c r="J71" s="5" t="s">
        <v>18</v>
      </c>
      <c r="K71" s="18" t="s">
        <v>255</v>
      </c>
    </row>
    <row r="72" spans="1:11" ht="25.5" x14ac:dyDescent="0.45">
      <c r="A72" s="5" t="s">
        <v>232</v>
      </c>
      <c r="B72" s="5" t="s">
        <v>263</v>
      </c>
      <c r="C72" s="5" t="s">
        <v>256</v>
      </c>
      <c r="D72" s="19">
        <v>1.6E-2</v>
      </c>
      <c r="E72" s="5" t="s">
        <v>73</v>
      </c>
      <c r="F72" s="18" t="s">
        <v>275</v>
      </c>
      <c r="G72" s="18" t="s">
        <v>276</v>
      </c>
      <c r="H72" s="5" t="s">
        <v>254</v>
      </c>
      <c r="I72" s="5" t="s">
        <v>238</v>
      </c>
      <c r="J72" s="5" t="s">
        <v>18</v>
      </c>
      <c r="K72" s="18" t="s">
        <v>268</v>
      </c>
    </row>
    <row r="73" spans="1:11" ht="25.5" x14ac:dyDescent="0.45">
      <c r="A73" s="5" t="s">
        <v>232</v>
      </c>
      <c r="B73" s="5" t="s">
        <v>263</v>
      </c>
      <c r="C73" s="5" t="s">
        <v>259</v>
      </c>
      <c r="D73" s="19">
        <v>0.108</v>
      </c>
      <c r="E73" s="5" t="s">
        <v>73</v>
      </c>
      <c r="F73" s="18" t="s">
        <v>277</v>
      </c>
      <c r="G73" s="18" t="s">
        <v>278</v>
      </c>
      <c r="H73" s="5" t="s">
        <v>254</v>
      </c>
      <c r="I73" s="5" t="s">
        <v>238</v>
      </c>
      <c r="J73" s="5" t="s">
        <v>18</v>
      </c>
      <c r="K73" s="18" t="s">
        <v>262</v>
      </c>
    </row>
    <row r="74" spans="1:11" ht="38.25" x14ac:dyDescent="0.45">
      <c r="A74" s="5" t="s">
        <v>232</v>
      </c>
      <c r="B74" s="5" t="s">
        <v>279</v>
      </c>
      <c r="C74" s="5" t="s">
        <v>234</v>
      </c>
      <c r="D74" s="19">
        <v>3.5000000000000003E-2</v>
      </c>
      <c r="E74" s="5" t="s">
        <v>73</v>
      </c>
      <c r="F74" s="18" t="s">
        <v>280</v>
      </c>
      <c r="G74" s="18" t="s">
        <v>281</v>
      </c>
      <c r="H74" s="5" t="s">
        <v>237</v>
      </c>
      <c r="I74" s="5" t="s">
        <v>238</v>
      </c>
      <c r="J74" s="5" t="s">
        <v>18</v>
      </c>
      <c r="K74" s="18" t="s">
        <v>268</v>
      </c>
    </row>
    <row r="75" spans="1:11" ht="25.5" x14ac:dyDescent="0.45">
      <c r="A75" s="5" t="s">
        <v>232</v>
      </c>
      <c r="B75" s="5" t="s">
        <v>279</v>
      </c>
      <c r="C75" s="5" t="s">
        <v>240</v>
      </c>
      <c r="D75" s="19">
        <v>0.44</v>
      </c>
      <c r="E75" s="5" t="s">
        <v>73</v>
      </c>
      <c r="F75" s="18" t="s">
        <v>282</v>
      </c>
      <c r="G75" s="18" t="s">
        <v>283</v>
      </c>
      <c r="H75" s="5" t="s">
        <v>243</v>
      </c>
      <c r="I75" s="5" t="s">
        <v>238</v>
      </c>
      <c r="J75" s="5" t="s">
        <v>18</v>
      </c>
      <c r="K75" s="18" t="s">
        <v>268</v>
      </c>
    </row>
    <row r="76" spans="1:11" ht="38.25" x14ac:dyDescent="0.45">
      <c r="A76" s="5" t="s">
        <v>232</v>
      </c>
      <c r="B76" s="5" t="s">
        <v>279</v>
      </c>
      <c r="C76" s="5" t="s">
        <v>244</v>
      </c>
      <c r="D76" s="19">
        <v>0.33800000000000002</v>
      </c>
      <c r="E76" s="5" t="s">
        <v>73</v>
      </c>
      <c r="F76" s="18" t="s">
        <v>284</v>
      </c>
      <c r="G76" s="18" t="s">
        <v>285</v>
      </c>
      <c r="H76" s="5" t="s">
        <v>237</v>
      </c>
      <c r="I76" s="5" t="s">
        <v>238</v>
      </c>
      <c r="J76" s="5" t="s">
        <v>18</v>
      </c>
      <c r="K76" s="18" t="s">
        <v>268</v>
      </c>
    </row>
    <row r="77" spans="1:11" ht="25.5" x14ac:dyDescent="0.45">
      <c r="A77" s="5" t="s">
        <v>232</v>
      </c>
      <c r="B77" s="5" t="s">
        <v>279</v>
      </c>
      <c r="C77" s="5" t="s">
        <v>247</v>
      </c>
      <c r="D77" s="19">
        <v>0.21</v>
      </c>
      <c r="E77" s="5" t="s">
        <v>73</v>
      </c>
      <c r="F77" s="18" t="s">
        <v>286</v>
      </c>
      <c r="G77" s="18" t="s">
        <v>287</v>
      </c>
      <c r="H77" s="5" t="s">
        <v>243</v>
      </c>
      <c r="I77" s="5" t="s">
        <v>238</v>
      </c>
      <c r="J77" s="5" t="s">
        <v>18</v>
      </c>
      <c r="K77" s="18" t="s">
        <v>250</v>
      </c>
    </row>
    <row r="78" spans="1:11" ht="25.5" x14ac:dyDescent="0.45">
      <c r="A78" s="5" t="s">
        <v>232</v>
      </c>
      <c r="B78" s="5" t="s">
        <v>279</v>
      </c>
      <c r="C78" s="5" t="s">
        <v>251</v>
      </c>
      <c r="D78" s="19">
        <v>1.6E-2</v>
      </c>
      <c r="E78" s="5" t="s">
        <v>73</v>
      </c>
      <c r="F78" s="18" t="s">
        <v>288</v>
      </c>
      <c r="G78" s="18" t="s">
        <v>289</v>
      </c>
      <c r="H78" s="5" t="s">
        <v>254</v>
      </c>
      <c r="I78" s="5" t="s">
        <v>238</v>
      </c>
      <c r="J78" s="5" t="s">
        <v>18</v>
      </c>
      <c r="K78" s="18" t="s">
        <v>268</v>
      </c>
    </row>
    <row r="79" spans="1:11" ht="25.5" x14ac:dyDescent="0.45">
      <c r="A79" s="5" t="s">
        <v>232</v>
      </c>
      <c r="B79" s="5" t="s">
        <v>279</v>
      </c>
      <c r="C79" s="5" t="s">
        <v>256</v>
      </c>
      <c r="D79" s="19">
        <v>1.7000000000000001E-2</v>
      </c>
      <c r="E79" s="5" t="s">
        <v>73</v>
      </c>
      <c r="F79" s="18" t="s">
        <v>290</v>
      </c>
      <c r="G79" s="18" t="s">
        <v>291</v>
      </c>
      <c r="H79" s="5" t="s">
        <v>254</v>
      </c>
      <c r="I79" s="5" t="s">
        <v>238</v>
      </c>
      <c r="J79" s="5" t="s">
        <v>18</v>
      </c>
      <c r="K79" s="18" t="s">
        <v>268</v>
      </c>
    </row>
    <row r="80" spans="1:11" ht="25.5" x14ac:dyDescent="0.45">
      <c r="A80" s="5" t="s">
        <v>232</v>
      </c>
      <c r="B80" s="5" t="s">
        <v>279</v>
      </c>
      <c r="C80" s="5" t="s">
        <v>259</v>
      </c>
      <c r="D80" s="19">
        <v>0.105</v>
      </c>
      <c r="E80" s="5" t="s">
        <v>73</v>
      </c>
      <c r="F80" s="18" t="s">
        <v>277</v>
      </c>
      <c r="G80" s="18" t="s">
        <v>292</v>
      </c>
      <c r="H80" s="5" t="s">
        <v>254</v>
      </c>
      <c r="I80" s="5" t="s">
        <v>238</v>
      </c>
      <c r="J80" s="5" t="s">
        <v>18</v>
      </c>
      <c r="K80" s="18" t="s">
        <v>268</v>
      </c>
    </row>
    <row r="81" spans="1:11" ht="38.25" x14ac:dyDescent="0.45">
      <c r="A81" s="5" t="s">
        <v>232</v>
      </c>
      <c r="B81" s="5" t="s">
        <v>293</v>
      </c>
      <c r="C81" s="5" t="s">
        <v>234</v>
      </c>
      <c r="D81" s="19">
        <v>0.04</v>
      </c>
      <c r="E81" s="5" t="s">
        <v>73</v>
      </c>
      <c r="F81" s="18" t="s">
        <v>294</v>
      </c>
      <c r="G81" s="18" t="s">
        <v>295</v>
      </c>
      <c r="H81" s="5" t="s">
        <v>237</v>
      </c>
      <c r="I81" s="5" t="s">
        <v>238</v>
      </c>
      <c r="J81" s="5" t="s">
        <v>18</v>
      </c>
      <c r="K81" s="18" t="s">
        <v>268</v>
      </c>
    </row>
    <row r="82" spans="1:11" ht="25.5" x14ac:dyDescent="0.45">
      <c r="A82" s="5" t="s">
        <v>232</v>
      </c>
      <c r="B82" s="5" t="s">
        <v>293</v>
      </c>
      <c r="C82" s="5" t="s">
        <v>240</v>
      </c>
      <c r="D82" s="19">
        <v>0.44500000000000001</v>
      </c>
      <c r="E82" s="5" t="s">
        <v>73</v>
      </c>
      <c r="F82" s="18" t="s">
        <v>296</v>
      </c>
      <c r="G82" s="18" t="s">
        <v>297</v>
      </c>
      <c r="H82" s="5" t="s">
        <v>243</v>
      </c>
      <c r="I82" s="5" t="s">
        <v>238</v>
      </c>
      <c r="J82" s="5" t="s">
        <v>18</v>
      </c>
      <c r="K82" s="18" t="s">
        <v>268</v>
      </c>
    </row>
    <row r="83" spans="1:11" ht="25.5" x14ac:dyDescent="0.45">
      <c r="A83" s="5" t="s">
        <v>232</v>
      </c>
      <c r="B83" s="5" t="s">
        <v>293</v>
      </c>
      <c r="C83" s="5" t="s">
        <v>244</v>
      </c>
      <c r="D83" s="19">
        <v>0.33200000000000002</v>
      </c>
      <c r="E83" s="5" t="s">
        <v>73</v>
      </c>
      <c r="F83" s="18" t="s">
        <v>284</v>
      </c>
      <c r="G83" s="18" t="s">
        <v>298</v>
      </c>
      <c r="H83" s="5" t="s">
        <v>237</v>
      </c>
      <c r="I83" s="5" t="s">
        <v>238</v>
      </c>
      <c r="J83" s="5" t="s">
        <v>18</v>
      </c>
      <c r="K83" s="18" t="s">
        <v>268</v>
      </c>
    </row>
    <row r="84" spans="1:11" ht="25.5" x14ac:dyDescent="0.45">
      <c r="A84" s="5" t="s">
        <v>232</v>
      </c>
      <c r="B84" s="5" t="s">
        <v>293</v>
      </c>
      <c r="C84" s="5" t="s">
        <v>247</v>
      </c>
      <c r="D84" s="19">
        <v>0.21</v>
      </c>
      <c r="E84" s="5" t="s">
        <v>73</v>
      </c>
      <c r="F84" s="18" t="s">
        <v>286</v>
      </c>
      <c r="G84" s="18" t="s">
        <v>299</v>
      </c>
      <c r="H84" s="5" t="s">
        <v>243</v>
      </c>
      <c r="I84" s="5" t="s">
        <v>238</v>
      </c>
      <c r="J84" s="5" t="s">
        <v>18</v>
      </c>
      <c r="K84" s="18" t="s">
        <v>250</v>
      </c>
    </row>
    <row r="85" spans="1:11" ht="25.5" x14ac:dyDescent="0.45">
      <c r="A85" s="5" t="s">
        <v>232</v>
      </c>
      <c r="B85" s="5" t="s">
        <v>293</v>
      </c>
      <c r="C85" s="5" t="s">
        <v>251</v>
      </c>
      <c r="D85" s="19">
        <v>1.6E-2</v>
      </c>
      <c r="E85" s="5" t="s">
        <v>73</v>
      </c>
      <c r="F85" s="18" t="s">
        <v>273</v>
      </c>
      <c r="G85" s="18" t="s">
        <v>274</v>
      </c>
      <c r="H85" s="5" t="s">
        <v>254</v>
      </c>
      <c r="I85" s="5" t="s">
        <v>238</v>
      </c>
      <c r="J85" s="5" t="s">
        <v>18</v>
      </c>
      <c r="K85" s="18" t="s">
        <v>268</v>
      </c>
    </row>
    <row r="86" spans="1:11" ht="25.5" x14ac:dyDescent="0.45">
      <c r="A86" s="5" t="s">
        <v>232</v>
      </c>
      <c r="B86" s="5" t="s">
        <v>293</v>
      </c>
      <c r="C86" s="5" t="s">
        <v>256</v>
      </c>
      <c r="D86" s="19">
        <v>1.7000000000000001E-2</v>
      </c>
      <c r="E86" s="5" t="s">
        <v>73</v>
      </c>
      <c r="F86" s="18" t="s">
        <v>300</v>
      </c>
      <c r="G86" s="18" t="s">
        <v>301</v>
      </c>
      <c r="H86" s="5" t="s">
        <v>254</v>
      </c>
      <c r="I86" s="5" t="s">
        <v>238</v>
      </c>
      <c r="J86" s="5" t="s">
        <v>18</v>
      </c>
      <c r="K86" s="18" t="s">
        <v>268</v>
      </c>
    </row>
    <row r="87" spans="1:11" ht="25.5" x14ac:dyDescent="0.45">
      <c r="A87" s="5" t="s">
        <v>232</v>
      </c>
      <c r="B87" s="5" t="s">
        <v>293</v>
      </c>
      <c r="C87" s="5" t="s">
        <v>259</v>
      </c>
      <c r="D87" s="19">
        <v>0.10199999999999999</v>
      </c>
      <c r="E87" s="5" t="s">
        <v>73</v>
      </c>
      <c r="F87" s="18" t="s">
        <v>302</v>
      </c>
      <c r="G87" s="18" t="s">
        <v>303</v>
      </c>
      <c r="H87" s="5" t="s">
        <v>254</v>
      </c>
      <c r="I87" s="5" t="s">
        <v>238</v>
      </c>
      <c r="J87" s="5" t="s">
        <v>18</v>
      </c>
      <c r="K87" s="18" t="s">
        <v>268</v>
      </c>
    </row>
    <row r="88" spans="1:11" ht="38.25" x14ac:dyDescent="0.45">
      <c r="A88" s="5" t="s">
        <v>232</v>
      </c>
      <c r="B88" s="5" t="s">
        <v>304</v>
      </c>
      <c r="C88" s="5" t="s">
        <v>234</v>
      </c>
      <c r="D88" s="19">
        <v>0.03</v>
      </c>
      <c r="E88" s="5" t="s">
        <v>73</v>
      </c>
      <c r="F88" s="18" t="s">
        <v>305</v>
      </c>
      <c r="G88" s="18" t="s">
        <v>306</v>
      </c>
      <c r="H88" s="5" t="s">
        <v>254</v>
      </c>
      <c r="I88" s="5" t="s">
        <v>238</v>
      </c>
      <c r="J88" s="5" t="s">
        <v>18</v>
      </c>
      <c r="K88" s="18" t="s">
        <v>307</v>
      </c>
    </row>
    <row r="89" spans="1:11" ht="25.5" x14ac:dyDescent="0.45">
      <c r="A89" s="5" t="s">
        <v>232</v>
      </c>
      <c r="B89" s="5" t="s">
        <v>304</v>
      </c>
      <c r="C89" s="5" t="s">
        <v>240</v>
      </c>
      <c r="D89" s="19">
        <v>0.44800000000000001</v>
      </c>
      <c r="E89" s="5" t="s">
        <v>73</v>
      </c>
      <c r="F89" s="18" t="s">
        <v>296</v>
      </c>
      <c r="G89" s="18" t="s">
        <v>308</v>
      </c>
      <c r="H89" s="5" t="s">
        <v>243</v>
      </c>
      <c r="I89" s="5" t="s">
        <v>238</v>
      </c>
      <c r="J89" s="5" t="s">
        <v>18</v>
      </c>
      <c r="K89" s="18" t="s">
        <v>307</v>
      </c>
    </row>
    <row r="90" spans="1:11" ht="25.5" x14ac:dyDescent="0.45">
      <c r="A90" s="5" t="s">
        <v>232</v>
      </c>
      <c r="B90" s="5" t="s">
        <v>304</v>
      </c>
      <c r="C90" s="5" t="s">
        <v>244</v>
      </c>
      <c r="D90" s="19">
        <v>0.32800000000000001</v>
      </c>
      <c r="E90" s="5" t="s">
        <v>73</v>
      </c>
      <c r="F90" s="18" t="s">
        <v>284</v>
      </c>
      <c r="G90" s="18" t="s">
        <v>309</v>
      </c>
      <c r="H90" s="5" t="s">
        <v>237</v>
      </c>
      <c r="I90" s="5" t="s">
        <v>238</v>
      </c>
      <c r="J90" s="5" t="s">
        <v>18</v>
      </c>
      <c r="K90" s="18" t="s">
        <v>307</v>
      </c>
    </row>
    <row r="91" spans="1:11" ht="25.5" x14ac:dyDescent="0.45">
      <c r="A91" s="5" t="s">
        <v>232</v>
      </c>
      <c r="B91" s="5" t="s">
        <v>304</v>
      </c>
      <c r="C91" s="5" t="s">
        <v>247</v>
      </c>
      <c r="D91" s="19">
        <v>0.21</v>
      </c>
      <c r="E91" s="5" t="s">
        <v>73</v>
      </c>
      <c r="F91" s="18" t="s">
        <v>286</v>
      </c>
      <c r="G91" s="18" t="s">
        <v>299</v>
      </c>
      <c r="H91" s="5" t="s">
        <v>243</v>
      </c>
      <c r="I91" s="5" t="s">
        <v>238</v>
      </c>
      <c r="J91" s="5" t="s">
        <v>18</v>
      </c>
      <c r="K91" s="18" t="s">
        <v>307</v>
      </c>
    </row>
    <row r="92" spans="1:11" ht="25.5" x14ac:dyDescent="0.45">
      <c r="A92" s="5" t="s">
        <v>232</v>
      </c>
      <c r="B92" s="5" t="s">
        <v>304</v>
      </c>
      <c r="C92" s="5" t="s">
        <v>251</v>
      </c>
      <c r="D92" s="19">
        <v>1.6E-2</v>
      </c>
      <c r="E92" s="5" t="s">
        <v>73</v>
      </c>
      <c r="F92" s="18" t="s">
        <v>273</v>
      </c>
      <c r="G92" s="18" t="s">
        <v>310</v>
      </c>
      <c r="H92" s="5" t="s">
        <v>254</v>
      </c>
      <c r="I92" s="5" t="s">
        <v>238</v>
      </c>
      <c r="J92" s="5" t="s">
        <v>18</v>
      </c>
      <c r="K92" s="18" t="s">
        <v>307</v>
      </c>
    </row>
    <row r="93" spans="1:11" ht="25.5" x14ac:dyDescent="0.45">
      <c r="A93" s="5" t="s">
        <v>232</v>
      </c>
      <c r="B93" s="5" t="s">
        <v>304</v>
      </c>
      <c r="C93" s="5" t="s">
        <v>256</v>
      </c>
      <c r="D93" s="19">
        <v>1.7000000000000001E-2</v>
      </c>
      <c r="E93" s="5" t="s">
        <v>73</v>
      </c>
      <c r="F93" s="18" t="s">
        <v>275</v>
      </c>
      <c r="G93" s="18" t="s">
        <v>311</v>
      </c>
      <c r="H93" s="5" t="s">
        <v>254</v>
      </c>
      <c r="I93" s="5" t="s">
        <v>238</v>
      </c>
      <c r="J93" s="5" t="s">
        <v>18</v>
      </c>
      <c r="K93" s="18" t="s">
        <v>307</v>
      </c>
    </row>
    <row r="94" spans="1:11" ht="25.5" x14ac:dyDescent="0.45">
      <c r="A94" s="5" t="s">
        <v>232</v>
      </c>
      <c r="B94" s="5" t="s">
        <v>304</v>
      </c>
      <c r="C94" s="5" t="s">
        <v>259</v>
      </c>
      <c r="D94" s="19">
        <v>0.1</v>
      </c>
      <c r="E94" s="5" t="s">
        <v>73</v>
      </c>
      <c r="F94" s="18" t="s">
        <v>302</v>
      </c>
      <c r="G94" s="18" t="s">
        <v>312</v>
      </c>
      <c r="H94" s="5" t="s">
        <v>254</v>
      </c>
      <c r="I94" s="5" t="s">
        <v>238</v>
      </c>
      <c r="J94" s="5" t="s">
        <v>18</v>
      </c>
      <c r="K94" s="18" t="s">
        <v>307</v>
      </c>
    </row>
    <row r="95" spans="1:11" ht="25.5" x14ac:dyDescent="0.45">
      <c r="A95" s="5" t="s">
        <v>313</v>
      </c>
      <c r="B95" s="5" t="s">
        <v>233</v>
      </c>
      <c r="C95" s="5" t="s">
        <v>234</v>
      </c>
      <c r="D95" s="19">
        <v>5.0000000000000001E-3</v>
      </c>
      <c r="E95" s="5" t="s">
        <v>73</v>
      </c>
      <c r="F95" s="18" t="s">
        <v>314</v>
      </c>
      <c r="G95" s="18" t="s">
        <v>315</v>
      </c>
      <c r="H95" s="5" t="s">
        <v>237</v>
      </c>
      <c r="I95" s="5" t="s">
        <v>238</v>
      </c>
      <c r="J95" s="5" t="s">
        <v>18</v>
      </c>
      <c r="K95" s="18" t="s">
        <v>255</v>
      </c>
    </row>
    <row r="96" spans="1:11" ht="38.25" x14ac:dyDescent="0.45">
      <c r="A96" s="5" t="s">
        <v>313</v>
      </c>
      <c r="B96" s="5" t="s">
        <v>233</v>
      </c>
      <c r="C96" s="5" t="s">
        <v>240</v>
      </c>
      <c r="D96" s="19">
        <v>0.43</v>
      </c>
      <c r="E96" s="5" t="s">
        <v>73</v>
      </c>
      <c r="F96" s="18" t="s">
        <v>241</v>
      </c>
      <c r="G96" s="18" t="s">
        <v>316</v>
      </c>
      <c r="H96" s="5" t="s">
        <v>243</v>
      </c>
      <c r="I96" s="5" t="s">
        <v>238</v>
      </c>
      <c r="J96" s="5" t="s">
        <v>18</v>
      </c>
      <c r="K96" s="18" t="s">
        <v>255</v>
      </c>
    </row>
    <row r="97" spans="1:11" ht="25.5" x14ac:dyDescent="0.45">
      <c r="A97" s="5" t="s">
        <v>313</v>
      </c>
      <c r="B97" s="5" t="s">
        <v>233</v>
      </c>
      <c r="C97" s="5" t="s">
        <v>244</v>
      </c>
      <c r="D97" s="19">
        <v>0.34799999999999998</v>
      </c>
      <c r="E97" s="5" t="s">
        <v>73</v>
      </c>
      <c r="F97" s="18" t="s">
        <v>245</v>
      </c>
      <c r="G97" s="18" t="s">
        <v>317</v>
      </c>
      <c r="H97" s="5" t="s">
        <v>237</v>
      </c>
      <c r="I97" s="5" t="s">
        <v>238</v>
      </c>
      <c r="J97" s="5" t="s">
        <v>18</v>
      </c>
      <c r="K97" s="18" t="s">
        <v>255</v>
      </c>
    </row>
    <row r="98" spans="1:11" ht="25.5" x14ac:dyDescent="0.45">
      <c r="A98" s="5" t="s">
        <v>313</v>
      </c>
      <c r="B98" s="5" t="s">
        <v>233</v>
      </c>
      <c r="C98" s="5" t="s">
        <v>247</v>
      </c>
      <c r="D98" s="19">
        <v>0.21</v>
      </c>
      <c r="E98" s="5" t="s">
        <v>73</v>
      </c>
      <c r="F98" s="18" t="s">
        <v>271</v>
      </c>
      <c r="G98" s="18" t="s">
        <v>318</v>
      </c>
      <c r="H98" s="5" t="s">
        <v>237</v>
      </c>
      <c r="I98" s="5" t="s">
        <v>238</v>
      </c>
      <c r="J98" s="5" t="s">
        <v>18</v>
      </c>
      <c r="K98" s="18" t="s">
        <v>250</v>
      </c>
    </row>
    <row r="99" spans="1:11" ht="25.5" x14ac:dyDescent="0.45">
      <c r="A99" s="5" t="s">
        <v>313</v>
      </c>
      <c r="B99" s="5" t="s">
        <v>233</v>
      </c>
      <c r="C99" s="5" t="s">
        <v>251</v>
      </c>
      <c r="D99" s="19">
        <v>1.6E-2</v>
      </c>
      <c r="E99" s="5" t="s">
        <v>73</v>
      </c>
      <c r="F99" s="18" t="s">
        <v>273</v>
      </c>
      <c r="G99" s="18" t="s">
        <v>319</v>
      </c>
      <c r="H99" s="5" t="s">
        <v>254</v>
      </c>
      <c r="I99" s="5" t="s">
        <v>238</v>
      </c>
      <c r="J99" s="5" t="s">
        <v>18</v>
      </c>
      <c r="K99" s="18" t="s">
        <v>255</v>
      </c>
    </row>
    <row r="100" spans="1:11" ht="25.5" x14ac:dyDescent="0.45">
      <c r="A100" s="5" t="s">
        <v>313</v>
      </c>
      <c r="B100" s="5" t="s">
        <v>233</v>
      </c>
      <c r="C100" s="5" t="s">
        <v>256</v>
      </c>
      <c r="D100" s="19">
        <v>1.7000000000000001E-2</v>
      </c>
      <c r="E100" s="5" t="s">
        <v>73</v>
      </c>
      <c r="F100" s="18" t="s">
        <v>290</v>
      </c>
      <c r="G100" s="18" t="s">
        <v>320</v>
      </c>
      <c r="H100" s="5" t="s">
        <v>254</v>
      </c>
      <c r="I100" s="5" t="s">
        <v>238</v>
      </c>
      <c r="J100" s="5" t="s">
        <v>18</v>
      </c>
      <c r="K100" s="18" t="s">
        <v>255</v>
      </c>
    </row>
    <row r="101" spans="1:11" ht="38.25" x14ac:dyDescent="0.45">
      <c r="A101" s="5" t="s">
        <v>313</v>
      </c>
      <c r="B101" s="5" t="s">
        <v>233</v>
      </c>
      <c r="C101" s="5" t="s">
        <v>259</v>
      </c>
      <c r="D101" s="19">
        <v>0.108</v>
      </c>
      <c r="E101" s="5" t="s">
        <v>73</v>
      </c>
      <c r="F101" s="18" t="s">
        <v>260</v>
      </c>
      <c r="G101" s="18" t="s">
        <v>321</v>
      </c>
      <c r="H101" s="5" t="s">
        <v>243</v>
      </c>
      <c r="I101" s="5" t="s">
        <v>238</v>
      </c>
      <c r="J101" s="5" t="s">
        <v>18</v>
      </c>
      <c r="K101" s="18" t="s">
        <v>262</v>
      </c>
    </row>
    <row r="102" spans="1:11" ht="25.5" x14ac:dyDescent="0.45">
      <c r="A102" s="5" t="s">
        <v>313</v>
      </c>
      <c r="B102" s="5" t="s">
        <v>263</v>
      </c>
      <c r="C102" s="5" t="s">
        <v>234</v>
      </c>
      <c r="D102" s="19">
        <v>0.04</v>
      </c>
      <c r="E102" s="5" t="s">
        <v>73</v>
      </c>
      <c r="F102" s="18" t="s">
        <v>322</v>
      </c>
      <c r="G102" s="18" t="s">
        <v>323</v>
      </c>
      <c r="H102" s="5" t="s">
        <v>237</v>
      </c>
      <c r="I102" s="5" t="s">
        <v>238</v>
      </c>
      <c r="J102" s="5" t="s">
        <v>18</v>
      </c>
      <c r="K102" s="18" t="s">
        <v>268</v>
      </c>
    </row>
    <row r="103" spans="1:11" ht="25.5" x14ac:dyDescent="0.45">
      <c r="A103" s="5" t="s">
        <v>313</v>
      </c>
      <c r="B103" s="5" t="s">
        <v>263</v>
      </c>
      <c r="C103" s="5" t="s">
        <v>240</v>
      </c>
      <c r="D103" s="19">
        <v>0.44</v>
      </c>
      <c r="E103" s="5" t="s">
        <v>73</v>
      </c>
      <c r="F103" s="18" t="s">
        <v>282</v>
      </c>
      <c r="G103" s="18" t="s">
        <v>324</v>
      </c>
      <c r="H103" s="5" t="s">
        <v>243</v>
      </c>
      <c r="I103" s="5" t="s">
        <v>238</v>
      </c>
      <c r="J103" s="5" t="s">
        <v>18</v>
      </c>
      <c r="K103" s="18" t="s">
        <v>268</v>
      </c>
    </row>
    <row r="104" spans="1:11" ht="25.5" x14ac:dyDescent="0.45">
      <c r="A104" s="5" t="s">
        <v>313</v>
      </c>
      <c r="B104" s="5" t="s">
        <v>263</v>
      </c>
      <c r="C104" s="5" t="s">
        <v>244</v>
      </c>
      <c r="D104" s="19">
        <v>0.34</v>
      </c>
      <c r="E104" s="5" t="s">
        <v>73</v>
      </c>
      <c r="F104" s="18" t="s">
        <v>325</v>
      </c>
      <c r="G104" s="18" t="s">
        <v>298</v>
      </c>
      <c r="H104" s="5" t="s">
        <v>237</v>
      </c>
      <c r="I104" s="5" t="s">
        <v>238</v>
      </c>
      <c r="J104" s="5" t="s">
        <v>18</v>
      </c>
      <c r="K104" s="18" t="s">
        <v>268</v>
      </c>
    </row>
    <row r="105" spans="1:11" ht="25.5" x14ac:dyDescent="0.45">
      <c r="A105" s="5" t="s">
        <v>313</v>
      </c>
      <c r="B105" s="5" t="s">
        <v>263</v>
      </c>
      <c r="C105" s="5" t="s">
        <v>247</v>
      </c>
      <c r="D105" s="19">
        <v>0.21</v>
      </c>
      <c r="E105" s="5" t="s">
        <v>73</v>
      </c>
      <c r="F105" s="18" t="s">
        <v>286</v>
      </c>
      <c r="G105" s="18" t="s">
        <v>326</v>
      </c>
      <c r="H105" s="5" t="s">
        <v>243</v>
      </c>
      <c r="I105" s="5" t="s">
        <v>238</v>
      </c>
      <c r="J105" s="5" t="s">
        <v>18</v>
      </c>
      <c r="K105" s="18" t="s">
        <v>250</v>
      </c>
    </row>
    <row r="106" spans="1:11" ht="25.5" x14ac:dyDescent="0.45">
      <c r="A106" s="5" t="s">
        <v>313</v>
      </c>
      <c r="B106" s="5" t="s">
        <v>263</v>
      </c>
      <c r="C106" s="5" t="s">
        <v>251</v>
      </c>
      <c r="D106" s="19">
        <v>1.6E-2</v>
      </c>
      <c r="E106" s="5" t="s">
        <v>73</v>
      </c>
      <c r="F106" s="18" t="s">
        <v>273</v>
      </c>
      <c r="G106" s="18" t="s">
        <v>274</v>
      </c>
      <c r="H106" s="5" t="s">
        <v>254</v>
      </c>
      <c r="I106" s="5" t="s">
        <v>238</v>
      </c>
      <c r="J106" s="5" t="s">
        <v>18</v>
      </c>
      <c r="K106" s="18" t="s">
        <v>268</v>
      </c>
    </row>
    <row r="107" spans="1:11" ht="25.5" x14ac:dyDescent="0.45">
      <c r="A107" s="5" t="s">
        <v>313</v>
      </c>
      <c r="B107" s="5" t="s">
        <v>263</v>
      </c>
      <c r="C107" s="5" t="s">
        <v>256</v>
      </c>
      <c r="D107" s="19">
        <v>1.7999999999999999E-2</v>
      </c>
      <c r="E107" s="5" t="s">
        <v>73</v>
      </c>
      <c r="F107" s="18" t="s">
        <v>327</v>
      </c>
      <c r="G107" s="18" t="s">
        <v>328</v>
      </c>
      <c r="H107" s="5" t="s">
        <v>254</v>
      </c>
      <c r="I107" s="5" t="s">
        <v>238</v>
      </c>
      <c r="J107" s="5" t="s">
        <v>18</v>
      </c>
      <c r="K107" s="18" t="s">
        <v>268</v>
      </c>
    </row>
    <row r="108" spans="1:11" ht="25.5" x14ac:dyDescent="0.45">
      <c r="A108" s="5" t="s">
        <v>313</v>
      </c>
      <c r="B108" s="5" t="s">
        <v>263</v>
      </c>
      <c r="C108" s="5" t="s">
        <v>259</v>
      </c>
      <c r="D108" s="19">
        <v>0.104</v>
      </c>
      <c r="E108" s="5" t="s">
        <v>73</v>
      </c>
      <c r="F108" s="18" t="s">
        <v>277</v>
      </c>
      <c r="G108" s="18" t="s">
        <v>329</v>
      </c>
      <c r="H108" s="5" t="s">
        <v>254</v>
      </c>
      <c r="I108" s="5" t="s">
        <v>238</v>
      </c>
      <c r="J108" s="5" t="s">
        <v>18</v>
      </c>
      <c r="K108" s="18" t="s">
        <v>268</v>
      </c>
    </row>
    <row r="109" spans="1:11" ht="25.5" x14ac:dyDescent="0.45">
      <c r="A109" s="5" t="s">
        <v>313</v>
      </c>
      <c r="B109" s="5" t="s">
        <v>279</v>
      </c>
      <c r="C109" s="5" t="s">
        <v>234</v>
      </c>
      <c r="D109" s="19">
        <v>0.05</v>
      </c>
      <c r="E109" s="5" t="s">
        <v>73</v>
      </c>
      <c r="F109" s="18" t="s">
        <v>330</v>
      </c>
      <c r="G109" s="18" t="s">
        <v>331</v>
      </c>
      <c r="H109" s="5" t="s">
        <v>237</v>
      </c>
      <c r="I109" s="5" t="s">
        <v>238</v>
      </c>
      <c r="J109" s="5" t="s">
        <v>18</v>
      </c>
      <c r="K109" s="18" t="s">
        <v>268</v>
      </c>
    </row>
    <row r="110" spans="1:11" ht="25.5" x14ac:dyDescent="0.45">
      <c r="A110" s="5" t="s">
        <v>313</v>
      </c>
      <c r="B110" s="5" t="s">
        <v>279</v>
      </c>
      <c r="C110" s="5" t="s">
        <v>240</v>
      </c>
      <c r="D110" s="19">
        <v>0.45</v>
      </c>
      <c r="E110" s="5" t="s">
        <v>73</v>
      </c>
      <c r="F110" s="18" t="s">
        <v>332</v>
      </c>
      <c r="G110" s="18" t="s">
        <v>333</v>
      </c>
      <c r="H110" s="5" t="s">
        <v>243</v>
      </c>
      <c r="I110" s="5" t="s">
        <v>238</v>
      </c>
      <c r="J110" s="5" t="s">
        <v>18</v>
      </c>
      <c r="K110" s="18" t="s">
        <v>268</v>
      </c>
    </row>
    <row r="111" spans="1:11" ht="38.25" x14ac:dyDescent="0.45">
      <c r="A111" s="5" t="s">
        <v>313</v>
      </c>
      <c r="B111" s="5" t="s">
        <v>279</v>
      </c>
      <c r="C111" s="5" t="s">
        <v>244</v>
      </c>
      <c r="D111" s="19">
        <v>0.33</v>
      </c>
      <c r="E111" s="5" t="s">
        <v>73</v>
      </c>
      <c r="F111" s="18" t="s">
        <v>284</v>
      </c>
      <c r="G111" s="18" t="s">
        <v>334</v>
      </c>
      <c r="H111" s="5" t="s">
        <v>237</v>
      </c>
      <c r="I111" s="5" t="s">
        <v>238</v>
      </c>
      <c r="J111" s="5" t="s">
        <v>18</v>
      </c>
      <c r="K111" s="18" t="s">
        <v>268</v>
      </c>
    </row>
    <row r="112" spans="1:11" ht="25.5" x14ac:dyDescent="0.45">
      <c r="A112" s="5" t="s">
        <v>313</v>
      </c>
      <c r="B112" s="5" t="s">
        <v>279</v>
      </c>
      <c r="C112" s="5" t="s">
        <v>247</v>
      </c>
      <c r="D112" s="19">
        <v>0.21</v>
      </c>
      <c r="E112" s="5" t="s">
        <v>73</v>
      </c>
      <c r="F112" s="18" t="s">
        <v>286</v>
      </c>
      <c r="G112" s="18" t="s">
        <v>299</v>
      </c>
      <c r="H112" s="5" t="s">
        <v>243</v>
      </c>
      <c r="I112" s="5" t="s">
        <v>238</v>
      </c>
      <c r="J112" s="5" t="s">
        <v>18</v>
      </c>
      <c r="K112" s="18" t="s">
        <v>250</v>
      </c>
    </row>
    <row r="113" spans="1:11" ht="25.5" x14ac:dyDescent="0.45">
      <c r="A113" s="5" t="s">
        <v>313</v>
      </c>
      <c r="B113" s="5" t="s">
        <v>279</v>
      </c>
      <c r="C113" s="5" t="s">
        <v>251</v>
      </c>
      <c r="D113" s="19">
        <v>1.6E-2</v>
      </c>
      <c r="E113" s="5" t="s">
        <v>73</v>
      </c>
      <c r="F113" s="18" t="s">
        <v>288</v>
      </c>
      <c r="G113" s="18" t="s">
        <v>335</v>
      </c>
      <c r="H113" s="5" t="s">
        <v>254</v>
      </c>
      <c r="I113" s="5" t="s">
        <v>238</v>
      </c>
      <c r="J113" s="5" t="s">
        <v>18</v>
      </c>
      <c r="K113" s="18" t="s">
        <v>268</v>
      </c>
    </row>
    <row r="114" spans="1:11" ht="38.25" x14ac:dyDescent="0.45">
      <c r="A114" s="5" t="s">
        <v>313</v>
      </c>
      <c r="B114" s="5" t="s">
        <v>279</v>
      </c>
      <c r="C114" s="5" t="s">
        <v>256</v>
      </c>
      <c r="D114" s="19">
        <v>1.9E-2</v>
      </c>
      <c r="E114" s="5" t="s">
        <v>73</v>
      </c>
      <c r="F114" s="18" t="s">
        <v>327</v>
      </c>
      <c r="G114" s="18" t="s">
        <v>336</v>
      </c>
      <c r="H114" s="5" t="s">
        <v>254</v>
      </c>
      <c r="I114" s="5" t="s">
        <v>238</v>
      </c>
      <c r="J114" s="5" t="s">
        <v>18</v>
      </c>
      <c r="K114" s="18" t="s">
        <v>268</v>
      </c>
    </row>
    <row r="115" spans="1:11" ht="25.5" x14ac:dyDescent="0.45">
      <c r="A115" s="5" t="s">
        <v>313</v>
      </c>
      <c r="B115" s="5" t="s">
        <v>279</v>
      </c>
      <c r="C115" s="5" t="s">
        <v>259</v>
      </c>
      <c r="D115" s="19">
        <v>0.1</v>
      </c>
      <c r="E115" s="5" t="s">
        <v>73</v>
      </c>
      <c r="F115" s="18" t="s">
        <v>302</v>
      </c>
      <c r="G115" s="18" t="s">
        <v>337</v>
      </c>
      <c r="H115" s="5" t="s">
        <v>254</v>
      </c>
      <c r="I115" s="5" t="s">
        <v>238</v>
      </c>
      <c r="J115" s="5" t="s">
        <v>18</v>
      </c>
      <c r="K115" s="18" t="s">
        <v>268</v>
      </c>
    </row>
    <row r="116" spans="1:11" ht="25.5" x14ac:dyDescent="0.45">
      <c r="A116" s="5" t="s">
        <v>313</v>
      </c>
      <c r="B116" s="5" t="s">
        <v>293</v>
      </c>
      <c r="C116" s="5" t="s">
        <v>234</v>
      </c>
      <c r="D116" s="19">
        <v>0.05</v>
      </c>
      <c r="E116" s="5" t="s">
        <v>73</v>
      </c>
      <c r="F116" s="18" t="s">
        <v>330</v>
      </c>
      <c r="G116" s="18" t="s">
        <v>338</v>
      </c>
      <c r="H116" s="5" t="s">
        <v>237</v>
      </c>
      <c r="I116" s="5" t="s">
        <v>238</v>
      </c>
      <c r="J116" s="5" t="s">
        <v>18</v>
      </c>
      <c r="K116" s="18" t="s">
        <v>268</v>
      </c>
    </row>
    <row r="117" spans="1:11" ht="25.5" x14ac:dyDescent="0.45">
      <c r="A117" s="5" t="s">
        <v>313</v>
      </c>
      <c r="B117" s="5" t="s">
        <v>293</v>
      </c>
      <c r="C117" s="5" t="s">
        <v>240</v>
      </c>
      <c r="D117" s="19">
        <v>0.45500000000000002</v>
      </c>
      <c r="E117" s="5" t="s">
        <v>73</v>
      </c>
      <c r="F117" s="18" t="s">
        <v>332</v>
      </c>
      <c r="G117" s="18" t="s">
        <v>339</v>
      </c>
      <c r="H117" s="5" t="s">
        <v>243</v>
      </c>
      <c r="I117" s="5" t="s">
        <v>238</v>
      </c>
      <c r="J117" s="5" t="s">
        <v>18</v>
      </c>
      <c r="K117" s="18" t="s">
        <v>268</v>
      </c>
    </row>
    <row r="118" spans="1:11" ht="38.25" x14ac:dyDescent="0.45">
      <c r="A118" s="5" t="s">
        <v>313</v>
      </c>
      <c r="B118" s="5" t="s">
        <v>293</v>
      </c>
      <c r="C118" s="5" t="s">
        <v>244</v>
      </c>
      <c r="D118" s="19">
        <v>0.32200000000000001</v>
      </c>
      <c r="E118" s="5" t="s">
        <v>73</v>
      </c>
      <c r="F118" s="18" t="s">
        <v>340</v>
      </c>
      <c r="G118" s="18" t="s">
        <v>341</v>
      </c>
      <c r="H118" s="5" t="s">
        <v>237</v>
      </c>
      <c r="I118" s="5" t="s">
        <v>238</v>
      </c>
      <c r="J118" s="5" t="s">
        <v>18</v>
      </c>
      <c r="K118" s="18" t="s">
        <v>268</v>
      </c>
    </row>
    <row r="119" spans="1:11" ht="25.5" x14ac:dyDescent="0.45">
      <c r="A119" s="5" t="s">
        <v>313</v>
      </c>
      <c r="B119" s="5" t="s">
        <v>293</v>
      </c>
      <c r="C119" s="5" t="s">
        <v>247</v>
      </c>
      <c r="D119" s="19">
        <v>0.21</v>
      </c>
      <c r="E119" s="5" t="s">
        <v>73</v>
      </c>
      <c r="F119" s="18" t="s">
        <v>286</v>
      </c>
      <c r="G119" s="18" t="s">
        <v>299</v>
      </c>
      <c r="H119" s="5" t="s">
        <v>243</v>
      </c>
      <c r="I119" s="5" t="s">
        <v>238</v>
      </c>
      <c r="J119" s="5" t="s">
        <v>18</v>
      </c>
      <c r="K119" s="18" t="s">
        <v>250</v>
      </c>
    </row>
    <row r="120" spans="1:11" ht="25.5" x14ac:dyDescent="0.45">
      <c r="A120" s="5" t="s">
        <v>313</v>
      </c>
      <c r="B120" s="5" t="s">
        <v>293</v>
      </c>
      <c r="C120" s="5" t="s">
        <v>251</v>
      </c>
      <c r="D120" s="19">
        <v>1.7000000000000001E-2</v>
      </c>
      <c r="E120" s="5" t="s">
        <v>73</v>
      </c>
      <c r="F120" s="18" t="s">
        <v>342</v>
      </c>
      <c r="G120" s="18" t="s">
        <v>343</v>
      </c>
      <c r="H120" s="5" t="s">
        <v>254</v>
      </c>
      <c r="I120" s="5" t="s">
        <v>238</v>
      </c>
      <c r="J120" s="5" t="s">
        <v>18</v>
      </c>
      <c r="K120" s="18" t="s">
        <v>268</v>
      </c>
    </row>
    <row r="121" spans="1:11" ht="25.5" x14ac:dyDescent="0.45">
      <c r="A121" s="5" t="s">
        <v>313</v>
      </c>
      <c r="B121" s="5" t="s">
        <v>293</v>
      </c>
      <c r="C121" s="5" t="s">
        <v>256</v>
      </c>
      <c r="D121" s="19">
        <v>1.9E-2</v>
      </c>
      <c r="E121" s="5" t="s">
        <v>73</v>
      </c>
      <c r="F121" s="18" t="s">
        <v>327</v>
      </c>
      <c r="G121" s="18" t="s">
        <v>344</v>
      </c>
      <c r="H121" s="5" t="s">
        <v>254</v>
      </c>
      <c r="I121" s="5" t="s">
        <v>238</v>
      </c>
      <c r="J121" s="5" t="s">
        <v>18</v>
      </c>
      <c r="K121" s="18" t="s">
        <v>268</v>
      </c>
    </row>
    <row r="122" spans="1:11" ht="25.5" x14ac:dyDescent="0.45">
      <c r="A122" s="5" t="s">
        <v>313</v>
      </c>
      <c r="B122" s="5" t="s">
        <v>293</v>
      </c>
      <c r="C122" s="5" t="s">
        <v>259</v>
      </c>
      <c r="D122" s="19">
        <v>9.7000000000000003E-2</v>
      </c>
      <c r="E122" s="5" t="s">
        <v>73</v>
      </c>
      <c r="F122" s="18" t="s">
        <v>345</v>
      </c>
      <c r="G122" s="18" t="s">
        <v>346</v>
      </c>
      <c r="H122" s="5" t="s">
        <v>254</v>
      </c>
      <c r="I122" s="5" t="s">
        <v>238</v>
      </c>
      <c r="J122" s="5" t="s">
        <v>18</v>
      </c>
      <c r="K122" s="18" t="s">
        <v>268</v>
      </c>
    </row>
    <row r="123" spans="1:11" ht="25.5" x14ac:dyDescent="0.45">
      <c r="A123" s="5" t="s">
        <v>313</v>
      </c>
      <c r="B123" s="5" t="s">
        <v>304</v>
      </c>
      <c r="C123" s="5" t="s">
        <v>234</v>
      </c>
      <c r="D123" s="19">
        <v>3.5000000000000003E-2</v>
      </c>
      <c r="E123" s="5" t="s">
        <v>73</v>
      </c>
      <c r="F123" s="18" t="s">
        <v>347</v>
      </c>
      <c r="G123" s="18" t="s">
        <v>306</v>
      </c>
      <c r="H123" s="5" t="s">
        <v>254</v>
      </c>
      <c r="I123" s="5" t="s">
        <v>238</v>
      </c>
      <c r="J123" s="5" t="s">
        <v>18</v>
      </c>
      <c r="K123" s="18" t="s">
        <v>307</v>
      </c>
    </row>
    <row r="124" spans="1:11" ht="25.5" x14ac:dyDescent="0.45">
      <c r="A124" s="5" t="s">
        <v>313</v>
      </c>
      <c r="B124" s="5" t="s">
        <v>304</v>
      </c>
      <c r="C124" s="5" t="s">
        <v>240</v>
      </c>
      <c r="D124" s="19">
        <v>0.45800000000000002</v>
      </c>
      <c r="E124" s="5" t="s">
        <v>73</v>
      </c>
      <c r="F124" s="18" t="s">
        <v>332</v>
      </c>
      <c r="G124" s="18" t="s">
        <v>348</v>
      </c>
      <c r="H124" s="5" t="s">
        <v>243</v>
      </c>
      <c r="I124" s="5" t="s">
        <v>238</v>
      </c>
      <c r="J124" s="5" t="s">
        <v>18</v>
      </c>
      <c r="K124" s="18" t="s">
        <v>307</v>
      </c>
    </row>
    <row r="125" spans="1:11" ht="38.25" x14ac:dyDescent="0.45">
      <c r="A125" s="5" t="s">
        <v>313</v>
      </c>
      <c r="B125" s="5" t="s">
        <v>304</v>
      </c>
      <c r="C125" s="5" t="s">
        <v>244</v>
      </c>
      <c r="D125" s="19">
        <v>0.318</v>
      </c>
      <c r="E125" s="5" t="s">
        <v>73</v>
      </c>
      <c r="F125" s="18" t="s">
        <v>349</v>
      </c>
      <c r="G125" s="18" t="s">
        <v>350</v>
      </c>
      <c r="H125" s="5" t="s">
        <v>237</v>
      </c>
      <c r="I125" s="5" t="s">
        <v>238</v>
      </c>
      <c r="J125" s="5" t="s">
        <v>18</v>
      </c>
      <c r="K125" s="18" t="s">
        <v>307</v>
      </c>
    </row>
    <row r="126" spans="1:11" ht="25.5" x14ac:dyDescent="0.45">
      <c r="A126" s="5" t="s">
        <v>313</v>
      </c>
      <c r="B126" s="5" t="s">
        <v>304</v>
      </c>
      <c r="C126" s="5" t="s">
        <v>247</v>
      </c>
      <c r="D126" s="19">
        <v>0.21</v>
      </c>
      <c r="E126" s="5" t="s">
        <v>73</v>
      </c>
      <c r="F126" s="18" t="s">
        <v>286</v>
      </c>
      <c r="G126" s="18" t="s">
        <v>299</v>
      </c>
      <c r="H126" s="5" t="s">
        <v>243</v>
      </c>
      <c r="I126" s="5" t="s">
        <v>238</v>
      </c>
      <c r="J126" s="5" t="s">
        <v>18</v>
      </c>
      <c r="K126" s="18" t="s">
        <v>307</v>
      </c>
    </row>
    <row r="127" spans="1:11" ht="25.5" x14ac:dyDescent="0.45">
      <c r="A127" s="5" t="s">
        <v>313</v>
      </c>
      <c r="B127" s="5" t="s">
        <v>304</v>
      </c>
      <c r="C127" s="5" t="s">
        <v>251</v>
      </c>
      <c r="D127" s="19">
        <v>1.7000000000000001E-2</v>
      </c>
      <c r="E127" s="5" t="s">
        <v>73</v>
      </c>
      <c r="F127" s="18" t="s">
        <v>342</v>
      </c>
      <c r="G127" s="18" t="s">
        <v>351</v>
      </c>
      <c r="H127" s="5" t="s">
        <v>254</v>
      </c>
      <c r="I127" s="5" t="s">
        <v>238</v>
      </c>
      <c r="J127" s="5" t="s">
        <v>18</v>
      </c>
      <c r="K127" s="18" t="s">
        <v>307</v>
      </c>
    </row>
    <row r="128" spans="1:11" ht="25.5" x14ac:dyDescent="0.45">
      <c r="A128" s="5" t="s">
        <v>313</v>
      </c>
      <c r="B128" s="5" t="s">
        <v>304</v>
      </c>
      <c r="C128" s="5" t="s">
        <v>256</v>
      </c>
      <c r="D128" s="19">
        <v>1.7999999999999999E-2</v>
      </c>
      <c r="E128" s="5" t="s">
        <v>73</v>
      </c>
      <c r="F128" s="18" t="s">
        <v>327</v>
      </c>
      <c r="G128" s="18" t="s">
        <v>352</v>
      </c>
      <c r="H128" s="5" t="s">
        <v>254</v>
      </c>
      <c r="I128" s="5" t="s">
        <v>238</v>
      </c>
      <c r="J128" s="5" t="s">
        <v>18</v>
      </c>
      <c r="K128" s="18" t="s">
        <v>307</v>
      </c>
    </row>
    <row r="129" spans="1:11" ht="25.5" x14ac:dyDescent="0.45">
      <c r="A129" s="5" t="s">
        <v>313</v>
      </c>
      <c r="B129" s="5" t="s">
        <v>304</v>
      </c>
      <c r="C129" s="5" t="s">
        <v>259</v>
      </c>
      <c r="D129" s="19">
        <v>9.5000000000000001E-2</v>
      </c>
      <c r="E129" s="5" t="s">
        <v>73</v>
      </c>
      <c r="F129" s="18" t="s">
        <v>345</v>
      </c>
      <c r="G129" s="18" t="s">
        <v>353</v>
      </c>
      <c r="H129" s="5" t="s">
        <v>254</v>
      </c>
      <c r="I129" s="5" t="s">
        <v>238</v>
      </c>
      <c r="J129" s="5" t="s">
        <v>18</v>
      </c>
      <c r="K129" s="18" t="s">
        <v>307</v>
      </c>
    </row>
    <row r="130" spans="1:11" ht="51" x14ac:dyDescent="0.45">
      <c r="A130" s="5" t="s">
        <v>354</v>
      </c>
      <c r="B130" s="5" t="s">
        <v>233</v>
      </c>
      <c r="C130" s="5" t="s">
        <v>234</v>
      </c>
      <c r="D130" s="19">
        <v>-0.04</v>
      </c>
      <c r="E130" s="5" t="s">
        <v>73</v>
      </c>
      <c r="F130" s="18" t="s">
        <v>355</v>
      </c>
      <c r="G130" s="18" t="s">
        <v>356</v>
      </c>
      <c r="H130" s="5" t="s">
        <v>237</v>
      </c>
      <c r="I130" s="5" t="s">
        <v>238</v>
      </c>
      <c r="J130" s="5" t="s">
        <v>18</v>
      </c>
      <c r="K130" s="18" t="s">
        <v>239</v>
      </c>
    </row>
    <row r="131" spans="1:11" ht="38.25" x14ac:dyDescent="0.45">
      <c r="A131" s="5" t="s">
        <v>354</v>
      </c>
      <c r="B131" s="5" t="s">
        <v>233</v>
      </c>
      <c r="C131" s="5" t="s">
        <v>240</v>
      </c>
      <c r="D131" s="19">
        <v>0.41499999999999998</v>
      </c>
      <c r="E131" s="5" t="s">
        <v>73</v>
      </c>
      <c r="F131" s="18" t="s">
        <v>241</v>
      </c>
      <c r="G131" s="18" t="s">
        <v>357</v>
      </c>
      <c r="H131" s="5" t="s">
        <v>243</v>
      </c>
      <c r="I131" s="5" t="s">
        <v>238</v>
      </c>
      <c r="J131" s="5" t="s">
        <v>18</v>
      </c>
      <c r="K131" s="18" t="s">
        <v>239</v>
      </c>
    </row>
    <row r="132" spans="1:11" ht="25.5" x14ac:dyDescent="0.45">
      <c r="A132" s="5" t="s">
        <v>354</v>
      </c>
      <c r="B132" s="5" t="s">
        <v>233</v>
      </c>
      <c r="C132" s="5" t="s">
        <v>244</v>
      </c>
      <c r="D132" s="19">
        <v>0.35499999999999998</v>
      </c>
      <c r="E132" s="5" t="s">
        <v>73</v>
      </c>
      <c r="F132" s="18" t="s">
        <v>245</v>
      </c>
      <c r="G132" s="18" t="s">
        <v>358</v>
      </c>
      <c r="H132" s="5" t="s">
        <v>237</v>
      </c>
      <c r="I132" s="5" t="s">
        <v>238</v>
      </c>
      <c r="J132" s="5" t="s">
        <v>18</v>
      </c>
      <c r="K132" s="18" t="s">
        <v>239</v>
      </c>
    </row>
    <row r="133" spans="1:11" ht="25.5" x14ac:dyDescent="0.45">
      <c r="A133" s="5" t="s">
        <v>354</v>
      </c>
      <c r="B133" s="5" t="s">
        <v>233</v>
      </c>
      <c r="C133" s="5" t="s">
        <v>247</v>
      </c>
      <c r="D133" s="19">
        <v>0.21</v>
      </c>
      <c r="E133" s="5" t="s">
        <v>73</v>
      </c>
      <c r="F133" s="18" t="s">
        <v>271</v>
      </c>
      <c r="G133" s="18" t="s">
        <v>359</v>
      </c>
      <c r="H133" s="5" t="s">
        <v>237</v>
      </c>
      <c r="I133" s="5" t="s">
        <v>238</v>
      </c>
      <c r="J133" s="5" t="s">
        <v>18</v>
      </c>
      <c r="K133" s="18" t="s">
        <v>250</v>
      </c>
    </row>
    <row r="134" spans="1:11" ht="25.5" x14ac:dyDescent="0.45">
      <c r="A134" s="5" t="s">
        <v>354</v>
      </c>
      <c r="B134" s="5" t="s">
        <v>233</v>
      </c>
      <c r="C134" s="5" t="s">
        <v>251</v>
      </c>
      <c r="D134" s="19">
        <v>1.6E-2</v>
      </c>
      <c r="E134" s="5" t="s">
        <v>73</v>
      </c>
      <c r="F134" s="18" t="s">
        <v>273</v>
      </c>
      <c r="G134" s="18" t="s">
        <v>360</v>
      </c>
      <c r="H134" s="5" t="s">
        <v>254</v>
      </c>
      <c r="I134" s="5" t="s">
        <v>238</v>
      </c>
      <c r="J134" s="5" t="s">
        <v>18</v>
      </c>
      <c r="K134" s="18" t="s">
        <v>239</v>
      </c>
    </row>
    <row r="135" spans="1:11" ht="25.5" x14ac:dyDescent="0.45">
      <c r="A135" s="5" t="s">
        <v>354</v>
      </c>
      <c r="B135" s="5" t="s">
        <v>233</v>
      </c>
      <c r="C135" s="5" t="s">
        <v>256</v>
      </c>
      <c r="D135" s="19">
        <v>1.2999999999999999E-2</v>
      </c>
      <c r="E135" s="5" t="s">
        <v>73</v>
      </c>
      <c r="F135" s="18" t="s">
        <v>361</v>
      </c>
      <c r="G135" s="18" t="s">
        <v>362</v>
      </c>
      <c r="H135" s="5" t="s">
        <v>254</v>
      </c>
      <c r="I135" s="5" t="s">
        <v>238</v>
      </c>
      <c r="J135" s="5" t="s">
        <v>18</v>
      </c>
      <c r="K135" s="18" t="s">
        <v>239</v>
      </c>
    </row>
    <row r="136" spans="1:11" ht="38.25" x14ac:dyDescent="0.45">
      <c r="A136" s="5" t="s">
        <v>354</v>
      </c>
      <c r="B136" s="5" t="s">
        <v>233</v>
      </c>
      <c r="C136" s="5" t="s">
        <v>259</v>
      </c>
      <c r="D136" s="19">
        <v>0.11700000000000001</v>
      </c>
      <c r="E136" s="5" t="s">
        <v>73</v>
      </c>
      <c r="F136" s="18" t="s">
        <v>260</v>
      </c>
      <c r="G136" s="18" t="s">
        <v>363</v>
      </c>
      <c r="H136" s="5" t="s">
        <v>243</v>
      </c>
      <c r="I136" s="5" t="s">
        <v>238</v>
      </c>
      <c r="J136" s="5" t="s">
        <v>18</v>
      </c>
      <c r="K136" s="18" t="s">
        <v>239</v>
      </c>
    </row>
    <row r="137" spans="1:11" ht="25.5" x14ac:dyDescent="0.45">
      <c r="A137" s="5" t="s">
        <v>354</v>
      </c>
      <c r="B137" s="5" t="s">
        <v>263</v>
      </c>
      <c r="C137" s="5" t="s">
        <v>234</v>
      </c>
      <c r="D137" s="19">
        <v>-0.01</v>
      </c>
      <c r="E137" s="5" t="s">
        <v>73</v>
      </c>
      <c r="F137" s="18" t="s">
        <v>364</v>
      </c>
      <c r="G137" s="18" t="s">
        <v>365</v>
      </c>
      <c r="H137" s="5" t="s">
        <v>237</v>
      </c>
      <c r="I137" s="5" t="s">
        <v>238</v>
      </c>
      <c r="J137" s="5" t="s">
        <v>18</v>
      </c>
      <c r="K137" s="18" t="s">
        <v>239</v>
      </c>
    </row>
    <row r="138" spans="1:11" ht="25.5" x14ac:dyDescent="0.45">
      <c r="A138" s="5" t="s">
        <v>354</v>
      </c>
      <c r="B138" s="5" t="s">
        <v>263</v>
      </c>
      <c r="C138" s="5" t="s">
        <v>240</v>
      </c>
      <c r="D138" s="19">
        <v>0.41499999999999998</v>
      </c>
      <c r="E138" s="5" t="s">
        <v>73</v>
      </c>
      <c r="F138" s="18" t="s">
        <v>241</v>
      </c>
      <c r="G138" s="18" t="s">
        <v>366</v>
      </c>
      <c r="H138" s="5" t="s">
        <v>243</v>
      </c>
      <c r="I138" s="5" t="s">
        <v>238</v>
      </c>
      <c r="J138" s="5" t="s">
        <v>18</v>
      </c>
      <c r="K138" s="18" t="s">
        <v>239</v>
      </c>
    </row>
    <row r="139" spans="1:11" ht="25.5" x14ac:dyDescent="0.45">
      <c r="A139" s="5" t="s">
        <v>354</v>
      </c>
      <c r="B139" s="5" t="s">
        <v>263</v>
      </c>
      <c r="C139" s="5" t="s">
        <v>244</v>
      </c>
      <c r="D139" s="19">
        <v>0.35699999999999998</v>
      </c>
      <c r="E139" s="5" t="s">
        <v>73</v>
      </c>
      <c r="F139" s="18" t="s">
        <v>245</v>
      </c>
      <c r="G139" s="18" t="s">
        <v>367</v>
      </c>
      <c r="H139" s="5" t="s">
        <v>237</v>
      </c>
      <c r="I139" s="5" t="s">
        <v>238</v>
      </c>
      <c r="J139" s="5" t="s">
        <v>18</v>
      </c>
      <c r="K139" s="18" t="s">
        <v>239</v>
      </c>
    </row>
    <row r="140" spans="1:11" ht="25.5" x14ac:dyDescent="0.45">
      <c r="A140" s="5" t="s">
        <v>354</v>
      </c>
      <c r="B140" s="5" t="s">
        <v>263</v>
      </c>
      <c r="C140" s="5" t="s">
        <v>247</v>
      </c>
      <c r="D140" s="19">
        <v>0.21</v>
      </c>
      <c r="E140" s="5" t="s">
        <v>73</v>
      </c>
      <c r="F140" s="18" t="s">
        <v>286</v>
      </c>
      <c r="G140" s="18" t="s">
        <v>368</v>
      </c>
      <c r="H140" s="5" t="s">
        <v>243</v>
      </c>
      <c r="I140" s="5" t="s">
        <v>238</v>
      </c>
      <c r="J140" s="5" t="s">
        <v>18</v>
      </c>
      <c r="K140" s="18" t="s">
        <v>250</v>
      </c>
    </row>
    <row r="141" spans="1:11" ht="25.5" x14ac:dyDescent="0.45">
      <c r="A141" s="5" t="s">
        <v>354</v>
      </c>
      <c r="B141" s="5" t="s">
        <v>263</v>
      </c>
      <c r="C141" s="5" t="s">
        <v>251</v>
      </c>
      <c r="D141" s="19">
        <v>1.6E-2</v>
      </c>
      <c r="E141" s="5" t="s">
        <v>73</v>
      </c>
      <c r="F141" s="18" t="s">
        <v>273</v>
      </c>
      <c r="G141" s="18" t="s">
        <v>360</v>
      </c>
      <c r="H141" s="5" t="s">
        <v>254</v>
      </c>
      <c r="I141" s="5" t="s">
        <v>238</v>
      </c>
      <c r="J141" s="5" t="s">
        <v>18</v>
      </c>
      <c r="K141" s="18" t="s">
        <v>239</v>
      </c>
    </row>
    <row r="142" spans="1:11" ht="25.5" x14ac:dyDescent="0.45">
      <c r="A142" s="5" t="s">
        <v>354</v>
      </c>
      <c r="B142" s="5" t="s">
        <v>263</v>
      </c>
      <c r="C142" s="5" t="s">
        <v>256</v>
      </c>
      <c r="D142" s="19">
        <v>1.2999999999999999E-2</v>
      </c>
      <c r="E142" s="5" t="s">
        <v>73</v>
      </c>
      <c r="F142" s="18" t="s">
        <v>361</v>
      </c>
      <c r="G142" s="18" t="s">
        <v>369</v>
      </c>
      <c r="H142" s="5" t="s">
        <v>254</v>
      </c>
      <c r="I142" s="5" t="s">
        <v>238</v>
      </c>
      <c r="J142" s="5" t="s">
        <v>18</v>
      </c>
      <c r="K142" s="18" t="s">
        <v>239</v>
      </c>
    </row>
    <row r="143" spans="1:11" ht="25.5" x14ac:dyDescent="0.45">
      <c r="A143" s="5" t="s">
        <v>354</v>
      </c>
      <c r="B143" s="5" t="s">
        <v>263</v>
      </c>
      <c r="C143" s="5" t="s">
        <v>259</v>
      </c>
      <c r="D143" s="19">
        <v>0.11799999999999999</v>
      </c>
      <c r="E143" s="5" t="s">
        <v>73</v>
      </c>
      <c r="F143" s="18" t="s">
        <v>370</v>
      </c>
      <c r="G143" s="18" t="s">
        <v>371</v>
      </c>
      <c r="H143" s="5" t="s">
        <v>254</v>
      </c>
      <c r="I143" s="5" t="s">
        <v>238</v>
      </c>
      <c r="J143" s="5" t="s">
        <v>18</v>
      </c>
      <c r="K143" s="18" t="s">
        <v>239</v>
      </c>
    </row>
    <row r="144" spans="1:11" ht="25.5" x14ac:dyDescent="0.45">
      <c r="A144" s="5" t="s">
        <v>354</v>
      </c>
      <c r="B144" s="5" t="s">
        <v>279</v>
      </c>
      <c r="C144" s="5" t="s">
        <v>234</v>
      </c>
      <c r="D144" s="19">
        <v>0.01</v>
      </c>
      <c r="E144" s="5" t="s">
        <v>73</v>
      </c>
      <c r="F144" s="18" t="s">
        <v>372</v>
      </c>
      <c r="G144" s="18" t="s">
        <v>373</v>
      </c>
      <c r="H144" s="5" t="s">
        <v>237</v>
      </c>
      <c r="I144" s="5" t="s">
        <v>238</v>
      </c>
      <c r="J144" s="5" t="s">
        <v>18</v>
      </c>
      <c r="K144" s="18" t="s">
        <v>255</v>
      </c>
    </row>
    <row r="145" spans="1:11" ht="25.5" x14ac:dyDescent="0.45">
      <c r="A145" s="5" t="s">
        <v>354</v>
      </c>
      <c r="B145" s="5" t="s">
        <v>279</v>
      </c>
      <c r="C145" s="5" t="s">
        <v>240</v>
      </c>
      <c r="D145" s="19">
        <v>0.42</v>
      </c>
      <c r="E145" s="5" t="s">
        <v>73</v>
      </c>
      <c r="F145" s="18" t="s">
        <v>374</v>
      </c>
      <c r="G145" s="18" t="s">
        <v>375</v>
      </c>
      <c r="H145" s="5" t="s">
        <v>243</v>
      </c>
      <c r="I145" s="5" t="s">
        <v>238</v>
      </c>
      <c r="J145" s="5" t="s">
        <v>18</v>
      </c>
      <c r="K145" s="18" t="s">
        <v>255</v>
      </c>
    </row>
    <row r="146" spans="1:11" x14ac:dyDescent="0.45">
      <c r="A146" s="5" t="s">
        <v>354</v>
      </c>
      <c r="B146" s="5" t="s">
        <v>279</v>
      </c>
      <c r="C146" s="5" t="s">
        <v>244</v>
      </c>
      <c r="D146" s="19">
        <v>0.35399999999999998</v>
      </c>
      <c r="E146" s="5" t="s">
        <v>73</v>
      </c>
      <c r="F146" s="18" t="s">
        <v>245</v>
      </c>
      <c r="G146" s="18" t="s">
        <v>376</v>
      </c>
      <c r="H146" s="5" t="s">
        <v>237</v>
      </c>
      <c r="I146" s="5" t="s">
        <v>238</v>
      </c>
      <c r="J146" s="5" t="s">
        <v>18</v>
      </c>
      <c r="K146" s="18" t="s">
        <v>255</v>
      </c>
    </row>
    <row r="147" spans="1:11" ht="25.5" x14ac:dyDescent="0.45">
      <c r="A147" s="5" t="s">
        <v>354</v>
      </c>
      <c r="B147" s="5" t="s">
        <v>279</v>
      </c>
      <c r="C147" s="5" t="s">
        <v>247</v>
      </c>
      <c r="D147" s="19">
        <v>0.21</v>
      </c>
      <c r="E147" s="5" t="s">
        <v>73</v>
      </c>
      <c r="F147" s="18" t="s">
        <v>286</v>
      </c>
      <c r="G147" s="18" t="s">
        <v>299</v>
      </c>
      <c r="H147" s="5" t="s">
        <v>243</v>
      </c>
      <c r="I147" s="5" t="s">
        <v>238</v>
      </c>
      <c r="J147" s="5" t="s">
        <v>18</v>
      </c>
      <c r="K147" s="18" t="s">
        <v>250</v>
      </c>
    </row>
    <row r="148" spans="1:11" ht="25.5" x14ac:dyDescent="0.45">
      <c r="A148" s="5" t="s">
        <v>354</v>
      </c>
      <c r="B148" s="5" t="s">
        <v>279</v>
      </c>
      <c r="C148" s="5" t="s">
        <v>251</v>
      </c>
      <c r="D148" s="19">
        <v>1.6E-2</v>
      </c>
      <c r="E148" s="5" t="s">
        <v>73</v>
      </c>
      <c r="F148" s="18" t="s">
        <v>273</v>
      </c>
      <c r="G148" s="18" t="s">
        <v>377</v>
      </c>
      <c r="H148" s="5" t="s">
        <v>254</v>
      </c>
      <c r="I148" s="5" t="s">
        <v>238</v>
      </c>
      <c r="J148" s="5" t="s">
        <v>18</v>
      </c>
      <c r="K148" s="18" t="s">
        <v>255</v>
      </c>
    </row>
    <row r="149" spans="1:11" ht="25.5" x14ac:dyDescent="0.45">
      <c r="A149" s="5" t="s">
        <v>354</v>
      </c>
      <c r="B149" s="5" t="s">
        <v>279</v>
      </c>
      <c r="C149" s="5" t="s">
        <v>256</v>
      </c>
      <c r="D149" s="19">
        <v>1.4E-2</v>
      </c>
      <c r="E149" s="5" t="s">
        <v>73</v>
      </c>
      <c r="F149" s="18" t="s">
        <v>257</v>
      </c>
      <c r="G149" s="18" t="s">
        <v>378</v>
      </c>
      <c r="H149" s="5" t="s">
        <v>254</v>
      </c>
      <c r="I149" s="5" t="s">
        <v>238</v>
      </c>
      <c r="J149" s="5" t="s">
        <v>18</v>
      </c>
      <c r="K149" s="18" t="s">
        <v>255</v>
      </c>
    </row>
    <row r="150" spans="1:11" x14ac:dyDescent="0.45">
      <c r="A150" s="5" t="s">
        <v>354</v>
      </c>
      <c r="B150" s="5" t="s">
        <v>279</v>
      </c>
      <c r="C150" s="5" t="s">
        <v>259</v>
      </c>
      <c r="D150" s="19">
        <v>0.11799999999999999</v>
      </c>
      <c r="E150" s="5" t="s">
        <v>73</v>
      </c>
      <c r="F150" s="18" t="s">
        <v>370</v>
      </c>
      <c r="G150" s="18" t="s">
        <v>379</v>
      </c>
      <c r="H150" s="5" t="s">
        <v>254</v>
      </c>
      <c r="I150" s="5" t="s">
        <v>238</v>
      </c>
      <c r="J150" s="5" t="s">
        <v>18</v>
      </c>
      <c r="K150" s="18" t="s">
        <v>255</v>
      </c>
    </row>
    <row r="151" spans="1:11" ht="25.5" x14ac:dyDescent="0.45">
      <c r="A151" s="5" t="s">
        <v>354</v>
      </c>
      <c r="B151" s="5" t="s">
        <v>293</v>
      </c>
      <c r="C151" s="5" t="s">
        <v>234</v>
      </c>
      <c r="D151" s="19">
        <v>0.02</v>
      </c>
      <c r="E151" s="5" t="s">
        <v>73</v>
      </c>
      <c r="F151" s="18" t="s">
        <v>380</v>
      </c>
      <c r="G151" s="18" t="s">
        <v>381</v>
      </c>
      <c r="H151" s="5" t="s">
        <v>254</v>
      </c>
      <c r="I151" s="5" t="s">
        <v>238</v>
      </c>
      <c r="J151" s="5" t="s">
        <v>18</v>
      </c>
      <c r="K151" s="18" t="s">
        <v>268</v>
      </c>
    </row>
    <row r="152" spans="1:11" ht="25.5" x14ac:dyDescent="0.45">
      <c r="A152" s="5" t="s">
        <v>354</v>
      </c>
      <c r="B152" s="5" t="s">
        <v>293</v>
      </c>
      <c r="C152" s="5" t="s">
        <v>240</v>
      </c>
      <c r="D152" s="19">
        <v>0.42499999999999999</v>
      </c>
      <c r="E152" s="5" t="s">
        <v>73</v>
      </c>
      <c r="F152" s="18" t="s">
        <v>374</v>
      </c>
      <c r="G152" s="18" t="s">
        <v>382</v>
      </c>
      <c r="H152" s="5" t="s">
        <v>243</v>
      </c>
      <c r="I152" s="5" t="s">
        <v>238</v>
      </c>
      <c r="J152" s="5" t="s">
        <v>18</v>
      </c>
      <c r="K152" s="18" t="s">
        <v>268</v>
      </c>
    </row>
    <row r="153" spans="1:11" ht="25.5" x14ac:dyDescent="0.45">
      <c r="A153" s="5" t="s">
        <v>354</v>
      </c>
      <c r="B153" s="5" t="s">
        <v>293</v>
      </c>
      <c r="C153" s="5" t="s">
        <v>244</v>
      </c>
      <c r="D153" s="19">
        <v>0.35</v>
      </c>
      <c r="E153" s="5" t="s">
        <v>73</v>
      </c>
      <c r="F153" s="18" t="s">
        <v>245</v>
      </c>
      <c r="G153" s="18" t="s">
        <v>383</v>
      </c>
      <c r="H153" s="5" t="s">
        <v>237</v>
      </c>
      <c r="I153" s="5" t="s">
        <v>238</v>
      </c>
      <c r="J153" s="5" t="s">
        <v>18</v>
      </c>
      <c r="K153" s="18" t="s">
        <v>268</v>
      </c>
    </row>
    <row r="154" spans="1:11" ht="25.5" x14ac:dyDescent="0.45">
      <c r="A154" s="5" t="s">
        <v>354</v>
      </c>
      <c r="B154" s="5" t="s">
        <v>293</v>
      </c>
      <c r="C154" s="5" t="s">
        <v>247</v>
      </c>
      <c r="D154" s="19">
        <v>0.21</v>
      </c>
      <c r="E154" s="5" t="s">
        <v>73</v>
      </c>
      <c r="F154" s="18" t="s">
        <v>286</v>
      </c>
      <c r="G154" s="18" t="s">
        <v>299</v>
      </c>
      <c r="H154" s="5" t="s">
        <v>243</v>
      </c>
      <c r="I154" s="5" t="s">
        <v>238</v>
      </c>
      <c r="J154" s="5" t="s">
        <v>18</v>
      </c>
      <c r="K154" s="18" t="s">
        <v>250</v>
      </c>
    </row>
    <row r="155" spans="1:11" ht="25.5" x14ac:dyDescent="0.45">
      <c r="A155" s="5" t="s">
        <v>354</v>
      </c>
      <c r="B155" s="5" t="s">
        <v>293</v>
      </c>
      <c r="C155" s="5" t="s">
        <v>251</v>
      </c>
      <c r="D155" s="19">
        <v>1.4999999999999999E-2</v>
      </c>
      <c r="E155" s="5" t="s">
        <v>73</v>
      </c>
      <c r="F155" s="18" t="s">
        <v>384</v>
      </c>
      <c r="G155" s="18" t="s">
        <v>385</v>
      </c>
      <c r="H155" s="5" t="s">
        <v>254</v>
      </c>
      <c r="I155" s="5" t="s">
        <v>238</v>
      </c>
      <c r="J155" s="5" t="s">
        <v>18</v>
      </c>
      <c r="K155" s="18" t="s">
        <v>268</v>
      </c>
    </row>
    <row r="156" spans="1:11" ht="25.5" x14ac:dyDescent="0.45">
      <c r="A156" s="5" t="s">
        <v>354</v>
      </c>
      <c r="B156" s="5" t="s">
        <v>293</v>
      </c>
      <c r="C156" s="5" t="s">
        <v>256</v>
      </c>
      <c r="D156" s="19">
        <v>1.4999999999999999E-2</v>
      </c>
      <c r="E156" s="5" t="s">
        <v>73</v>
      </c>
      <c r="F156" s="18" t="s">
        <v>257</v>
      </c>
      <c r="G156" s="18" t="s">
        <v>386</v>
      </c>
      <c r="H156" s="5" t="s">
        <v>254</v>
      </c>
      <c r="I156" s="5" t="s">
        <v>238</v>
      </c>
      <c r="J156" s="5" t="s">
        <v>18</v>
      </c>
      <c r="K156" s="18" t="s">
        <v>268</v>
      </c>
    </row>
    <row r="157" spans="1:11" ht="25.5" x14ac:dyDescent="0.45">
      <c r="A157" s="5" t="s">
        <v>354</v>
      </c>
      <c r="B157" s="5" t="s">
        <v>293</v>
      </c>
      <c r="C157" s="5" t="s">
        <v>259</v>
      </c>
      <c r="D157" s="19">
        <v>0.11700000000000001</v>
      </c>
      <c r="E157" s="5" t="s">
        <v>73</v>
      </c>
      <c r="F157" s="18" t="s">
        <v>370</v>
      </c>
      <c r="G157" s="18" t="s">
        <v>387</v>
      </c>
      <c r="H157" s="5" t="s">
        <v>254</v>
      </c>
      <c r="I157" s="5" t="s">
        <v>238</v>
      </c>
      <c r="J157" s="5" t="s">
        <v>18</v>
      </c>
      <c r="K157" s="18" t="s">
        <v>268</v>
      </c>
    </row>
    <row r="158" spans="1:11" ht="38.25" x14ac:dyDescent="0.45">
      <c r="A158" s="5" t="s">
        <v>354</v>
      </c>
      <c r="B158" s="5" t="s">
        <v>304</v>
      </c>
      <c r="C158" s="5" t="s">
        <v>234</v>
      </c>
      <c r="D158" s="19">
        <v>0.02</v>
      </c>
      <c r="E158" s="5" t="s">
        <v>73</v>
      </c>
      <c r="F158" s="18" t="s">
        <v>305</v>
      </c>
      <c r="G158" s="18" t="s">
        <v>388</v>
      </c>
      <c r="H158" s="5" t="s">
        <v>254</v>
      </c>
      <c r="I158" s="5" t="s">
        <v>238</v>
      </c>
      <c r="J158" s="5" t="s">
        <v>18</v>
      </c>
      <c r="K158" s="18" t="s">
        <v>307</v>
      </c>
    </row>
    <row r="159" spans="1:11" ht="25.5" x14ac:dyDescent="0.45">
      <c r="A159" s="5" t="s">
        <v>354</v>
      </c>
      <c r="B159" s="5" t="s">
        <v>304</v>
      </c>
      <c r="C159" s="5" t="s">
        <v>240</v>
      </c>
      <c r="D159" s="19">
        <v>0.42799999999999999</v>
      </c>
      <c r="E159" s="5" t="s">
        <v>73</v>
      </c>
      <c r="F159" s="18" t="s">
        <v>389</v>
      </c>
      <c r="G159" s="18" t="s">
        <v>390</v>
      </c>
      <c r="H159" s="5" t="s">
        <v>243</v>
      </c>
      <c r="I159" s="5" t="s">
        <v>238</v>
      </c>
      <c r="J159" s="5" t="s">
        <v>18</v>
      </c>
      <c r="K159" s="18" t="s">
        <v>307</v>
      </c>
    </row>
    <row r="160" spans="1:11" ht="25.5" x14ac:dyDescent="0.45">
      <c r="A160" s="5" t="s">
        <v>354</v>
      </c>
      <c r="B160" s="5" t="s">
        <v>304</v>
      </c>
      <c r="C160" s="5" t="s">
        <v>244</v>
      </c>
      <c r="D160" s="19">
        <v>0.34599999999999997</v>
      </c>
      <c r="E160" s="5" t="s">
        <v>73</v>
      </c>
      <c r="F160" s="18" t="s">
        <v>245</v>
      </c>
      <c r="G160" s="18" t="s">
        <v>391</v>
      </c>
      <c r="H160" s="5" t="s">
        <v>237</v>
      </c>
      <c r="I160" s="5" t="s">
        <v>238</v>
      </c>
      <c r="J160" s="5" t="s">
        <v>18</v>
      </c>
      <c r="K160" s="18" t="s">
        <v>307</v>
      </c>
    </row>
    <row r="161" spans="1:11" ht="25.5" x14ac:dyDescent="0.45">
      <c r="A161" s="5" t="s">
        <v>354</v>
      </c>
      <c r="B161" s="5" t="s">
        <v>304</v>
      </c>
      <c r="C161" s="5" t="s">
        <v>247</v>
      </c>
      <c r="D161" s="19">
        <v>0.21</v>
      </c>
      <c r="E161" s="5" t="s">
        <v>73</v>
      </c>
      <c r="F161" s="18" t="s">
        <v>286</v>
      </c>
      <c r="G161" s="18" t="s">
        <v>299</v>
      </c>
      <c r="H161" s="5" t="s">
        <v>243</v>
      </c>
      <c r="I161" s="5" t="s">
        <v>238</v>
      </c>
      <c r="J161" s="5" t="s">
        <v>18</v>
      </c>
      <c r="K161" s="18" t="s">
        <v>307</v>
      </c>
    </row>
    <row r="162" spans="1:11" ht="25.5" x14ac:dyDescent="0.45">
      <c r="A162" s="5" t="s">
        <v>354</v>
      </c>
      <c r="B162" s="5" t="s">
        <v>304</v>
      </c>
      <c r="C162" s="5" t="s">
        <v>251</v>
      </c>
      <c r="D162" s="19">
        <v>1.4999999999999999E-2</v>
      </c>
      <c r="E162" s="5" t="s">
        <v>73</v>
      </c>
      <c r="F162" s="18" t="s">
        <v>384</v>
      </c>
      <c r="G162" s="18" t="s">
        <v>310</v>
      </c>
      <c r="H162" s="5" t="s">
        <v>254</v>
      </c>
      <c r="I162" s="5" t="s">
        <v>238</v>
      </c>
      <c r="J162" s="5" t="s">
        <v>18</v>
      </c>
      <c r="K162" s="18" t="s">
        <v>307</v>
      </c>
    </row>
    <row r="163" spans="1:11" ht="25.5" x14ac:dyDescent="0.45">
      <c r="A163" s="5" t="s">
        <v>354</v>
      </c>
      <c r="B163" s="5" t="s">
        <v>304</v>
      </c>
      <c r="C163" s="5" t="s">
        <v>256</v>
      </c>
      <c r="D163" s="19">
        <v>1.4999999999999999E-2</v>
      </c>
      <c r="E163" s="5" t="s">
        <v>73</v>
      </c>
      <c r="F163" s="18" t="s">
        <v>257</v>
      </c>
      <c r="G163" s="18" t="s">
        <v>392</v>
      </c>
      <c r="H163" s="5" t="s">
        <v>254</v>
      </c>
      <c r="I163" s="5" t="s">
        <v>238</v>
      </c>
      <c r="J163" s="5" t="s">
        <v>18</v>
      </c>
      <c r="K163" s="18" t="s">
        <v>307</v>
      </c>
    </row>
    <row r="164" spans="1:11" ht="25.5" x14ac:dyDescent="0.45">
      <c r="A164" s="5" t="s">
        <v>354</v>
      </c>
      <c r="B164" s="5" t="s">
        <v>304</v>
      </c>
      <c r="C164" s="5" t="s">
        <v>259</v>
      </c>
      <c r="D164" s="19">
        <v>0.115</v>
      </c>
      <c r="E164" s="5" t="s">
        <v>73</v>
      </c>
      <c r="F164" s="18" t="s">
        <v>393</v>
      </c>
      <c r="G164" s="18" t="s">
        <v>394</v>
      </c>
      <c r="H164" s="5" t="s">
        <v>254</v>
      </c>
      <c r="I164" s="5" t="s">
        <v>238</v>
      </c>
      <c r="J164" s="5" t="s">
        <v>18</v>
      </c>
      <c r="K164" s="18" t="s">
        <v>307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30"/>
  <sheetViews>
    <sheetView showGridLines="0" zoomScale="90" zoomScaleNormal="9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4.25" x14ac:dyDescent="0.45"/>
  <cols>
    <col min="1" max="1" width="2.73046875" customWidth="1"/>
    <col min="2" max="2" width="38.73046875" customWidth="1"/>
    <col min="3" max="3" width="16.73046875" customWidth="1"/>
    <col min="4" max="8" width="14.73046875" customWidth="1"/>
    <col min="9" max="9" width="56.73046875" customWidth="1"/>
  </cols>
  <sheetData>
    <row r="2" spans="2:10" ht="23" customHeight="1" x14ac:dyDescent="0.5">
      <c r="B2" s="1" t="s">
        <v>413</v>
      </c>
      <c r="C2" s="1"/>
      <c r="D2" s="1"/>
      <c r="E2" s="1"/>
      <c r="F2" s="1"/>
      <c r="G2" s="1"/>
      <c r="H2" s="1"/>
      <c r="I2" s="1"/>
      <c r="J2" s="1"/>
    </row>
    <row r="3" spans="2:10" x14ac:dyDescent="0.45">
      <c r="B3" s="2" t="s">
        <v>414</v>
      </c>
    </row>
    <row r="7" spans="2:10" x14ac:dyDescent="0.45">
      <c r="B7" s="8" t="s">
        <v>415</v>
      </c>
      <c r="C7" s="8" t="s">
        <v>6</v>
      </c>
      <c r="D7" s="8" t="s">
        <v>416</v>
      </c>
      <c r="E7" s="8" t="s">
        <v>417</v>
      </c>
      <c r="F7" s="8" t="s">
        <v>418</v>
      </c>
      <c r="G7" s="8" t="s">
        <v>419</v>
      </c>
      <c r="H7" s="8" t="s">
        <v>420</v>
      </c>
      <c r="I7" s="8" t="s">
        <v>421</v>
      </c>
    </row>
    <row r="8" spans="2:10" x14ac:dyDescent="0.45">
      <c r="B8" s="5" t="s">
        <v>422</v>
      </c>
      <c r="C8" s="5" t="s">
        <v>49</v>
      </c>
      <c r="D8" s="20">
        <v>46710</v>
      </c>
      <c r="E8" s="20">
        <v>51217</v>
      </c>
      <c r="F8" s="20">
        <v>51362</v>
      </c>
      <c r="G8" s="20">
        <v>46309</v>
      </c>
      <c r="H8" s="20">
        <v>46398</v>
      </c>
      <c r="I8" s="15" t="s">
        <v>423</v>
      </c>
    </row>
    <row r="9" spans="2:10" ht="25.5" x14ac:dyDescent="0.45">
      <c r="B9" s="5" t="s">
        <v>424</v>
      </c>
      <c r="C9" s="5" t="s">
        <v>49</v>
      </c>
      <c r="D9" s="20">
        <v>6675</v>
      </c>
      <c r="E9" s="20">
        <v>5915</v>
      </c>
      <c r="F9" s="20">
        <v>6311</v>
      </c>
      <c r="G9" s="20">
        <v>3702</v>
      </c>
      <c r="H9" s="20">
        <v>3797</v>
      </c>
      <c r="I9" s="15" t="s">
        <v>425</v>
      </c>
    </row>
    <row r="10" spans="2:10" x14ac:dyDescent="0.45">
      <c r="B10" s="5" t="s">
        <v>426</v>
      </c>
      <c r="C10" s="5" t="s">
        <v>73</v>
      </c>
      <c r="D10" s="12">
        <v>0.142903</v>
      </c>
      <c r="E10" s="12">
        <v>0.11548899999999999</v>
      </c>
      <c r="F10" s="12">
        <v>0.122873</v>
      </c>
      <c r="G10" s="12">
        <v>7.9940999999999998E-2</v>
      </c>
      <c r="H10" s="12">
        <v>8.1835000000000005E-2</v>
      </c>
      <c r="I10" s="15" t="s">
        <v>423</v>
      </c>
    </row>
    <row r="11" spans="2:10" x14ac:dyDescent="0.45">
      <c r="B11" s="5" t="s">
        <v>427</v>
      </c>
      <c r="C11" s="5" t="s">
        <v>73</v>
      </c>
      <c r="D11" s="12">
        <v>9.0963764847391368E-2</v>
      </c>
      <c r="E11" s="12">
        <v>0.1823899371069182</v>
      </c>
      <c r="F11" s="12">
        <v>0.1492537313432836</v>
      </c>
      <c r="G11" s="12">
        <v>0.1714285714285714</v>
      </c>
      <c r="H11" s="12">
        <v>0.2030769230769231</v>
      </c>
      <c r="I11" s="15" t="s">
        <v>423</v>
      </c>
    </row>
    <row r="12" spans="2:10" x14ac:dyDescent="0.45">
      <c r="B12" s="5" t="s">
        <v>428</v>
      </c>
      <c r="C12" s="5" t="s">
        <v>49</v>
      </c>
      <c r="D12" s="20">
        <v>717</v>
      </c>
      <c r="E12" s="20">
        <v>703</v>
      </c>
      <c r="F12" s="20">
        <v>796</v>
      </c>
      <c r="G12" s="20">
        <v>775</v>
      </c>
      <c r="H12" s="20">
        <v>747</v>
      </c>
      <c r="I12" s="15" t="s">
        <v>423</v>
      </c>
    </row>
    <row r="13" spans="2:10" x14ac:dyDescent="0.45">
      <c r="B13" s="5" t="s">
        <v>429</v>
      </c>
      <c r="C13" s="5" t="s">
        <v>49</v>
      </c>
      <c r="D13" s="20">
        <v>758</v>
      </c>
      <c r="E13" s="20">
        <v>969</v>
      </c>
      <c r="F13" s="20">
        <v>812</v>
      </c>
      <c r="G13" s="20">
        <v>430</v>
      </c>
      <c r="H13" s="20">
        <v>684</v>
      </c>
      <c r="I13" s="15" t="s">
        <v>430</v>
      </c>
    </row>
    <row r="14" spans="2:10" x14ac:dyDescent="0.45">
      <c r="B14" s="5" t="s">
        <v>431</v>
      </c>
      <c r="C14" s="5" t="s">
        <v>49</v>
      </c>
      <c r="D14" s="20">
        <v>5416</v>
      </c>
      <c r="E14" s="20">
        <v>5702</v>
      </c>
      <c r="F14" s="20">
        <v>4690</v>
      </c>
      <c r="G14" s="20">
        <v>4152</v>
      </c>
      <c r="H14" s="20">
        <v>5507</v>
      </c>
      <c r="I14" s="15" t="s">
        <v>423</v>
      </c>
    </row>
    <row r="15" spans="2:10" ht="25.5" x14ac:dyDescent="0.45">
      <c r="B15" s="5" t="s">
        <v>432</v>
      </c>
      <c r="C15" s="5" t="s">
        <v>49</v>
      </c>
      <c r="D15" s="5"/>
      <c r="E15" s="20">
        <v>286</v>
      </c>
      <c r="F15" s="20">
        <v>-1012</v>
      </c>
      <c r="G15" s="20">
        <v>-538</v>
      </c>
      <c r="H15" s="20">
        <v>1355</v>
      </c>
      <c r="I15" s="15" t="s">
        <v>433</v>
      </c>
    </row>
    <row r="16" spans="2:10" ht="25.5" x14ac:dyDescent="0.45">
      <c r="B16" s="5" t="s">
        <v>434</v>
      </c>
      <c r="C16" s="5" t="s">
        <v>49</v>
      </c>
      <c r="D16" s="5"/>
      <c r="E16" s="20">
        <v>4284.1635220125791</v>
      </c>
      <c r="F16" s="20">
        <v>6365.059701492537</v>
      </c>
      <c r="G16" s="20">
        <v>3950.3714285714291</v>
      </c>
      <c r="H16" s="20">
        <v>1733.916923076923</v>
      </c>
      <c r="I16" s="15" t="s">
        <v>433</v>
      </c>
    </row>
    <row r="20" spans="2:9" x14ac:dyDescent="0.45">
      <c r="B20" s="7" t="s">
        <v>435</v>
      </c>
      <c r="C20" s="7"/>
      <c r="D20" s="7"/>
      <c r="E20" s="7"/>
      <c r="F20" s="7"/>
      <c r="G20" s="7"/>
      <c r="H20" s="7"/>
      <c r="I20" s="7"/>
    </row>
    <row r="22" spans="2:9" x14ac:dyDescent="0.45">
      <c r="B22" s="5" t="s">
        <v>436</v>
      </c>
      <c r="C22" s="5" t="s">
        <v>49</v>
      </c>
      <c r="H22" s="21">
        <f>Sources!D13</f>
        <v>7563</v>
      </c>
      <c r="I22" s="5" t="s">
        <v>50</v>
      </c>
    </row>
    <row r="23" spans="2:9" x14ac:dyDescent="0.45">
      <c r="B23" s="5" t="s">
        <v>437</v>
      </c>
      <c r="C23" s="5" t="s">
        <v>49</v>
      </c>
      <c r="H23" s="21">
        <f>Sources!D14</f>
        <v>1464</v>
      </c>
      <c r="I23" s="5" t="s">
        <v>50</v>
      </c>
    </row>
    <row r="24" spans="2:9" x14ac:dyDescent="0.45">
      <c r="B24" s="5" t="s">
        <v>438</v>
      </c>
      <c r="C24" s="5" t="s">
        <v>49</v>
      </c>
      <c r="H24" s="21">
        <f>CarryingDebt</f>
        <v>7942</v>
      </c>
      <c r="I24" s="5" t="s">
        <v>61</v>
      </c>
    </row>
    <row r="25" spans="2:9" x14ac:dyDescent="0.45">
      <c r="B25" s="5" t="s">
        <v>439</v>
      </c>
      <c r="C25" s="5" t="s">
        <v>49</v>
      </c>
      <c r="H25" s="21">
        <f>OperatingLeaseLiabilitiesMemo</f>
        <v>3091</v>
      </c>
      <c r="I25" s="5" t="s">
        <v>61</v>
      </c>
    </row>
    <row r="26" spans="2:9" x14ac:dyDescent="0.45">
      <c r="B26" s="5" t="s">
        <v>440</v>
      </c>
      <c r="C26" s="5" t="s">
        <v>34</v>
      </c>
      <c r="H26" s="21">
        <f>ClassAShares</f>
        <v>281.38775199999998</v>
      </c>
      <c r="I26" s="5" t="s">
        <v>35</v>
      </c>
    </row>
    <row r="27" spans="2:9" x14ac:dyDescent="0.45">
      <c r="B27" s="5" t="s">
        <v>441</v>
      </c>
      <c r="C27" s="5" t="s">
        <v>34</v>
      </c>
      <c r="H27" s="21">
        <f>ClassBShares</f>
        <v>1202.1109510000001</v>
      </c>
      <c r="I27" s="5" t="s">
        <v>35</v>
      </c>
    </row>
    <row r="28" spans="2:9" x14ac:dyDescent="0.45">
      <c r="B28" s="5" t="s">
        <v>442</v>
      </c>
      <c r="C28" s="5" t="s">
        <v>34</v>
      </c>
      <c r="H28" s="21">
        <f>IncrementalDilutiveShares</f>
        <v>1.2</v>
      </c>
      <c r="I28" s="5" t="s">
        <v>43</v>
      </c>
    </row>
    <row r="29" spans="2:9" x14ac:dyDescent="0.45">
      <c r="B29" s="5" t="s">
        <v>410</v>
      </c>
      <c r="C29" s="5" t="s">
        <v>34</v>
      </c>
      <c r="H29" s="21">
        <f>BasicShares</f>
        <v>1483.4987030000002</v>
      </c>
      <c r="I29" s="5" t="s">
        <v>443</v>
      </c>
    </row>
    <row r="30" spans="2:9" x14ac:dyDescent="0.45">
      <c r="B30" s="5" t="s">
        <v>411</v>
      </c>
      <c r="C30" s="5" t="s">
        <v>34</v>
      </c>
      <c r="H30" s="21">
        <f>DilutedProxyShares</f>
        <v>1484.6987030000003</v>
      </c>
      <c r="I30" s="5" t="s">
        <v>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77"/>
  <sheetViews>
    <sheetView showGridLines="0" zoomScale="85" zoomScaleNormal="85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4.25" x14ac:dyDescent="0.45"/>
  <cols>
    <col min="1" max="1" width="2.73046875" customWidth="1"/>
    <col min="2" max="2" width="36.73046875" customWidth="1"/>
    <col min="3" max="9" width="14.73046875" customWidth="1"/>
    <col min="10" max="10" width="52.73046875" customWidth="1"/>
  </cols>
  <sheetData>
    <row r="2" spans="2:10" ht="23" customHeight="1" x14ac:dyDescent="0.5">
      <c r="B2" s="1" t="s">
        <v>445</v>
      </c>
      <c r="C2" s="1"/>
      <c r="D2" s="1"/>
      <c r="E2" s="1"/>
      <c r="F2" s="1"/>
      <c r="G2" s="1"/>
      <c r="H2" s="1"/>
      <c r="I2" s="1"/>
      <c r="J2" s="1"/>
    </row>
    <row r="3" spans="2:10" x14ac:dyDescent="0.45">
      <c r="B3" s="2" t="s">
        <v>446</v>
      </c>
    </row>
    <row r="7" spans="2:10" x14ac:dyDescent="0.45">
      <c r="B7" s="7" t="s">
        <v>447</v>
      </c>
      <c r="C7" s="7"/>
      <c r="D7" s="7"/>
      <c r="E7" s="7"/>
      <c r="F7" s="7"/>
      <c r="G7" s="7"/>
      <c r="H7" s="7"/>
      <c r="I7" s="7"/>
      <c r="J7" s="7"/>
    </row>
    <row r="8" spans="2:10" x14ac:dyDescent="0.45">
      <c r="B8" s="8" t="s">
        <v>415</v>
      </c>
      <c r="C8" s="8" t="s">
        <v>6</v>
      </c>
      <c r="D8" s="8" t="s">
        <v>420</v>
      </c>
      <c r="E8" s="8" t="s">
        <v>448</v>
      </c>
      <c r="F8" s="8" t="s">
        <v>449</v>
      </c>
      <c r="G8" s="8" t="s">
        <v>450</v>
      </c>
      <c r="H8" s="8" t="s">
        <v>451</v>
      </c>
      <c r="I8" s="8" t="s">
        <v>452</v>
      </c>
      <c r="J8" s="8" t="s">
        <v>453</v>
      </c>
    </row>
    <row r="9" spans="2:10" x14ac:dyDescent="0.45">
      <c r="B9" s="5" t="s">
        <v>454</v>
      </c>
      <c r="C9" s="5" t="s">
        <v>73</v>
      </c>
      <c r="D9" s="12">
        <v>1.9220000000000001E-3</v>
      </c>
      <c r="E9" s="22">
        <f>Sources!$D$130</f>
        <v>-0.04</v>
      </c>
      <c r="F9" s="22">
        <f>Sources!$D$137</f>
        <v>-0.01</v>
      </c>
      <c r="G9" s="22">
        <f>Sources!$D$144</f>
        <v>0.01</v>
      </c>
      <c r="H9" s="22">
        <f>Sources!$D$151</f>
        <v>0.02</v>
      </c>
      <c r="I9" s="22">
        <f>Sources!$D$158</f>
        <v>0.02</v>
      </c>
      <c r="J9" s="15" t="s">
        <v>455</v>
      </c>
    </row>
    <row r="10" spans="2:10" x14ac:dyDescent="0.45">
      <c r="B10" s="5" t="s">
        <v>422</v>
      </c>
      <c r="C10" s="5" t="s">
        <v>49</v>
      </c>
      <c r="D10" s="20">
        <v>46398</v>
      </c>
      <c r="E10" s="10">
        <f>D10*(1+E9)</f>
        <v>44542.080000000002</v>
      </c>
      <c r="F10" s="10">
        <f>E10*(1+F9)</f>
        <v>44096.659200000002</v>
      </c>
      <c r="G10" s="10">
        <f>F10*(1+G9)</f>
        <v>44537.625791999999</v>
      </c>
      <c r="H10" s="10">
        <f>G10*(1+H9)</f>
        <v>45428.378307840001</v>
      </c>
      <c r="I10" s="10">
        <f>H10*(1+I9)</f>
        <v>46336.945873996803</v>
      </c>
      <c r="J10" s="15" t="s">
        <v>456</v>
      </c>
    </row>
    <row r="11" spans="2:10" x14ac:dyDescent="0.45">
      <c r="B11" s="5" t="s">
        <v>457</v>
      </c>
      <c r="C11" s="5" t="s">
        <v>73</v>
      </c>
      <c r="D11" s="12">
        <v>0.42913499999999999</v>
      </c>
      <c r="E11" s="22">
        <f>Sources!$D$131</f>
        <v>0.41499999999999998</v>
      </c>
      <c r="F11" s="22">
        <f>Sources!$D$138</f>
        <v>0.41499999999999998</v>
      </c>
      <c r="G11" s="22">
        <f>Sources!$D$145</f>
        <v>0.42</v>
      </c>
      <c r="H11" s="22">
        <f>Sources!$D$152</f>
        <v>0.42499999999999999</v>
      </c>
      <c r="I11" s="22">
        <f>Sources!$D$159</f>
        <v>0.42799999999999999</v>
      </c>
      <c r="J11" s="15" t="s">
        <v>455</v>
      </c>
    </row>
    <row r="12" spans="2:10" x14ac:dyDescent="0.45">
      <c r="B12" s="5" t="s">
        <v>458</v>
      </c>
      <c r="C12" s="5" t="s">
        <v>49</v>
      </c>
      <c r="D12" s="20">
        <v>19911</v>
      </c>
      <c r="E12" s="10">
        <f>E10*E11</f>
        <v>18484.963199999998</v>
      </c>
      <c r="F12" s="10">
        <f>F10*F11</f>
        <v>18300.113568000001</v>
      </c>
      <c r="G12" s="10">
        <f>G10*G11</f>
        <v>18705.802832639998</v>
      </c>
      <c r="H12" s="10">
        <f>H10*H11</f>
        <v>19307.060780831998</v>
      </c>
      <c r="I12" s="10">
        <f>I10*I11</f>
        <v>19832.212834070633</v>
      </c>
      <c r="J12" s="15" t="s">
        <v>456</v>
      </c>
    </row>
    <row r="13" spans="2:10" x14ac:dyDescent="0.45">
      <c r="B13" s="5" t="s">
        <v>459</v>
      </c>
      <c r="C13" s="5" t="s">
        <v>73</v>
      </c>
      <c r="D13" s="12">
        <v>0.34729945256261052</v>
      </c>
      <c r="E13" s="22">
        <f>Sources!$D$132</f>
        <v>0.35499999999999998</v>
      </c>
      <c r="F13" s="22">
        <f>Sources!$D$139</f>
        <v>0.35699999999999998</v>
      </c>
      <c r="G13" s="22">
        <f>Sources!$D$146</f>
        <v>0.35399999999999998</v>
      </c>
      <c r="H13" s="22">
        <f>Sources!$D$153</f>
        <v>0.35</v>
      </c>
      <c r="I13" s="22">
        <f>Sources!$D$160</f>
        <v>0.34599999999999997</v>
      </c>
      <c r="J13" s="15" t="s">
        <v>455</v>
      </c>
    </row>
    <row r="14" spans="2:10" x14ac:dyDescent="0.45">
      <c r="B14" s="5" t="s">
        <v>460</v>
      </c>
      <c r="C14" s="5" t="s">
        <v>49</v>
      </c>
      <c r="D14" s="20">
        <v>16114</v>
      </c>
      <c r="E14" s="10">
        <f>E10*E13</f>
        <v>15812.438399999999</v>
      </c>
      <c r="F14" s="10">
        <f>F10*F13</f>
        <v>15742.507334399999</v>
      </c>
      <c r="G14" s="10">
        <f>G10*G13</f>
        <v>15766.319530367999</v>
      </c>
      <c r="H14" s="10">
        <f>H10*H13</f>
        <v>15899.932407744</v>
      </c>
      <c r="I14" s="10">
        <f>I10*I13</f>
        <v>16032.583272402893</v>
      </c>
      <c r="J14" s="15" t="s">
        <v>456</v>
      </c>
    </row>
    <row r="15" spans="2:10" ht="25.5" x14ac:dyDescent="0.45">
      <c r="B15" s="5" t="s">
        <v>424</v>
      </c>
      <c r="C15" s="5" t="s">
        <v>49</v>
      </c>
      <c r="D15" s="20">
        <v>3797</v>
      </c>
      <c r="E15" s="10">
        <f>E12-E14</f>
        <v>2672.5247999999992</v>
      </c>
      <c r="F15" s="10">
        <f>F12-F14</f>
        <v>2557.6062336000014</v>
      </c>
      <c r="G15" s="10">
        <f>G12-G14</f>
        <v>2939.4833022719995</v>
      </c>
      <c r="H15" s="10">
        <f>H12-H14</f>
        <v>3407.1283730879986</v>
      </c>
      <c r="I15" s="10">
        <f>I12-I14</f>
        <v>3799.6295616677398</v>
      </c>
      <c r="J15" s="15" t="s">
        <v>461</v>
      </c>
    </row>
    <row r="16" spans="2:10" x14ac:dyDescent="0.45">
      <c r="B16" s="5" t="s">
        <v>426</v>
      </c>
      <c r="C16" s="5" t="s">
        <v>73</v>
      </c>
      <c r="D16" s="12">
        <v>8.1835000000000005E-2</v>
      </c>
      <c r="E16" s="23">
        <f>E15/E10</f>
        <v>5.9999999999999977E-2</v>
      </c>
      <c r="F16" s="23">
        <f>F15/F10</f>
        <v>5.8000000000000031E-2</v>
      </c>
      <c r="G16" s="23">
        <f>G15/G10</f>
        <v>6.5999999999999989E-2</v>
      </c>
      <c r="H16" s="23">
        <f>H15/H10</f>
        <v>7.4999999999999969E-2</v>
      </c>
      <c r="I16" s="23">
        <f>I15/I10</f>
        <v>8.2000000000000045E-2</v>
      </c>
      <c r="J16" s="15" t="s">
        <v>456</v>
      </c>
    </row>
    <row r="17" spans="2:10" x14ac:dyDescent="0.45">
      <c r="B17" s="5" t="s">
        <v>462</v>
      </c>
      <c r="C17" s="5" t="s">
        <v>73</v>
      </c>
      <c r="D17" s="12">
        <v>0.2030769230769231</v>
      </c>
      <c r="E17" s="22">
        <f>Sources!$D$133</f>
        <v>0.21</v>
      </c>
      <c r="F17" s="22">
        <f>Sources!$D$140</f>
        <v>0.21</v>
      </c>
      <c r="G17" s="22">
        <f>Sources!$D$147</f>
        <v>0.21</v>
      </c>
      <c r="H17" s="22">
        <f>Sources!$D$154</f>
        <v>0.21</v>
      </c>
      <c r="I17" s="22">
        <f>Sources!$D$161</f>
        <v>0.21</v>
      </c>
      <c r="J17" s="15" t="s">
        <v>455</v>
      </c>
    </row>
    <row r="18" spans="2:10" x14ac:dyDescent="0.45">
      <c r="B18" s="5" t="s">
        <v>463</v>
      </c>
      <c r="C18" s="5" t="s">
        <v>49</v>
      </c>
      <c r="D18" s="20">
        <v>771.08307692307687</v>
      </c>
      <c r="E18" s="10">
        <f>MAX(E15,0)*E17</f>
        <v>561.23020799999983</v>
      </c>
      <c r="F18" s="10">
        <f>MAX(F15,0)*F17</f>
        <v>537.09730905600031</v>
      </c>
      <c r="G18" s="10">
        <f>MAX(G15,0)*G17</f>
        <v>617.29149347711984</v>
      </c>
      <c r="H18" s="10">
        <f>MAX(H15,0)*H17</f>
        <v>715.49695834847967</v>
      </c>
      <c r="I18" s="10">
        <f>MAX(I15,0)*I17</f>
        <v>797.92220795022536</v>
      </c>
      <c r="J18" s="15" t="s">
        <v>456</v>
      </c>
    </row>
    <row r="19" spans="2:10" x14ac:dyDescent="0.45">
      <c r="B19" s="5" t="s">
        <v>464</v>
      </c>
      <c r="C19" s="5" t="s">
        <v>49</v>
      </c>
      <c r="D19" s="20">
        <v>3025.916923076923</v>
      </c>
      <c r="E19" s="10">
        <f>E15-E18</f>
        <v>2111.2945919999993</v>
      </c>
      <c r="F19" s="10">
        <f>F15-F18</f>
        <v>2020.508924544001</v>
      </c>
      <c r="G19" s="10">
        <f>G15-G18</f>
        <v>2322.1918087948798</v>
      </c>
      <c r="H19" s="10">
        <f>H15-H18</f>
        <v>2691.6314147395187</v>
      </c>
      <c r="I19" s="10">
        <f>I15-I18</f>
        <v>3001.7073537175147</v>
      </c>
      <c r="J19" s="15" t="s">
        <v>456</v>
      </c>
    </row>
    <row r="20" spans="2:10" x14ac:dyDescent="0.45">
      <c r="B20" s="5" t="s">
        <v>465</v>
      </c>
      <c r="C20" s="5" t="s">
        <v>73</v>
      </c>
      <c r="D20" s="12">
        <v>1.6099831889305569E-2</v>
      </c>
      <c r="E20" s="22">
        <f>Sources!$D$134</f>
        <v>1.6E-2</v>
      </c>
      <c r="F20" s="22">
        <f>Sources!$D$141</f>
        <v>1.6E-2</v>
      </c>
      <c r="G20" s="22">
        <f>Sources!$D$148</f>
        <v>1.6E-2</v>
      </c>
      <c r="H20" s="22">
        <f>Sources!$D$155</f>
        <v>1.4999999999999999E-2</v>
      </c>
      <c r="I20" s="22">
        <f>Sources!$D$162</f>
        <v>1.4999999999999999E-2</v>
      </c>
      <c r="J20" s="15" t="s">
        <v>455</v>
      </c>
    </row>
    <row r="21" spans="2:10" x14ac:dyDescent="0.45">
      <c r="B21" s="5" t="s">
        <v>428</v>
      </c>
      <c r="C21" s="5" t="s">
        <v>49</v>
      </c>
      <c r="D21" s="20">
        <v>747</v>
      </c>
      <c r="E21" s="10">
        <f>E10*E20</f>
        <v>712.67328000000009</v>
      </c>
      <c r="F21" s="10">
        <f>F10*F20</f>
        <v>705.54654720000008</v>
      </c>
      <c r="G21" s="10">
        <f>G10*G20</f>
        <v>712.602012672</v>
      </c>
      <c r="H21" s="10">
        <f>H10*H20</f>
        <v>681.42567461759995</v>
      </c>
      <c r="I21" s="10">
        <f>I10*I20</f>
        <v>695.05418810995207</v>
      </c>
      <c r="J21" s="15" t="s">
        <v>456</v>
      </c>
    </row>
    <row r="22" spans="2:10" x14ac:dyDescent="0.45">
      <c r="B22" s="5" t="s">
        <v>466</v>
      </c>
      <c r="C22" s="5" t="s">
        <v>73</v>
      </c>
      <c r="D22" s="12">
        <v>1.4742014742014741E-2</v>
      </c>
      <c r="E22" s="22">
        <f>Sources!$D$135</f>
        <v>1.2999999999999999E-2</v>
      </c>
      <c r="F22" s="22">
        <f>Sources!$D$142</f>
        <v>1.2999999999999999E-2</v>
      </c>
      <c r="G22" s="22">
        <f>Sources!$D$149</f>
        <v>1.4E-2</v>
      </c>
      <c r="H22" s="22">
        <f>Sources!$D$156</f>
        <v>1.4999999999999999E-2</v>
      </c>
      <c r="I22" s="22">
        <f>Sources!$D$163</f>
        <v>1.4999999999999999E-2</v>
      </c>
      <c r="J22" s="15" t="s">
        <v>455</v>
      </c>
    </row>
    <row r="23" spans="2:10" x14ac:dyDescent="0.45">
      <c r="B23" s="5" t="s">
        <v>429</v>
      </c>
      <c r="C23" s="5" t="s">
        <v>49</v>
      </c>
      <c r="D23" s="20">
        <v>684</v>
      </c>
      <c r="E23" s="10">
        <f>E10*E22</f>
        <v>579.04704000000004</v>
      </c>
      <c r="F23" s="10">
        <f>F10*F22</f>
        <v>573.25656960000003</v>
      </c>
      <c r="G23" s="10">
        <f>G10*G22</f>
        <v>623.52676108799994</v>
      </c>
      <c r="H23" s="10">
        <f>H10*H22</f>
        <v>681.42567461759995</v>
      </c>
      <c r="I23" s="10">
        <f>I10*I22</f>
        <v>695.05418810995207</v>
      </c>
      <c r="J23" s="15" t="s">
        <v>456</v>
      </c>
    </row>
    <row r="24" spans="2:10" x14ac:dyDescent="0.45">
      <c r="B24" s="5" t="s">
        <v>467</v>
      </c>
      <c r="C24" s="5" t="s">
        <v>73</v>
      </c>
      <c r="D24" s="12">
        <v>0.118690460795724</v>
      </c>
      <c r="E24" s="22">
        <f>Sources!$D$136</f>
        <v>0.11700000000000001</v>
      </c>
      <c r="F24" s="22">
        <f>Sources!$D$143</f>
        <v>0.11799999999999999</v>
      </c>
      <c r="G24" s="22">
        <f>Sources!$D$150</f>
        <v>0.11799999999999999</v>
      </c>
      <c r="H24" s="22">
        <f>Sources!$D$157</f>
        <v>0.11700000000000001</v>
      </c>
      <c r="I24" s="22">
        <f>Sources!$D$164</f>
        <v>0.115</v>
      </c>
      <c r="J24" s="15" t="s">
        <v>455</v>
      </c>
    </row>
    <row r="25" spans="2:10" x14ac:dyDescent="0.45">
      <c r="B25" s="5" t="s">
        <v>431</v>
      </c>
      <c r="C25" s="5" t="s">
        <v>49</v>
      </c>
      <c r="D25" s="20">
        <v>5507</v>
      </c>
      <c r="E25" s="10">
        <f>E10*E24</f>
        <v>5211.4233600000007</v>
      </c>
      <c r="F25" s="10">
        <f>F10*F24</f>
        <v>5203.4057855999999</v>
      </c>
      <c r="G25" s="10">
        <f>G10*G24</f>
        <v>5255.4398434559998</v>
      </c>
      <c r="H25" s="10">
        <f>H10*H24</f>
        <v>5315.1202620172808</v>
      </c>
      <c r="I25" s="10">
        <f>I10*I24</f>
        <v>5328.7487755096327</v>
      </c>
      <c r="J25" s="15" t="s">
        <v>456</v>
      </c>
    </row>
    <row r="26" spans="2:10" x14ac:dyDescent="0.45">
      <c r="B26" s="5" t="s">
        <v>432</v>
      </c>
      <c r="C26" s="5" t="s">
        <v>49</v>
      </c>
      <c r="D26" s="20">
        <v>1355</v>
      </c>
      <c r="E26" s="10">
        <f>E25-D25</f>
        <v>-295.57663999999932</v>
      </c>
      <c r="F26" s="10">
        <f>F25-E25</f>
        <v>-8.0175744000007398</v>
      </c>
      <c r="G26" s="10">
        <f>G25-F25</f>
        <v>52.03405785599989</v>
      </c>
      <c r="H26" s="10">
        <f>H25-G25</f>
        <v>59.680418561280931</v>
      </c>
      <c r="I26" s="10">
        <f>I25-H25</f>
        <v>13.628513492351885</v>
      </c>
      <c r="J26" s="15" t="s">
        <v>456</v>
      </c>
    </row>
    <row r="27" spans="2:10" x14ac:dyDescent="0.45">
      <c r="B27" s="5" t="s">
        <v>468</v>
      </c>
      <c r="C27" s="5" t="s">
        <v>49</v>
      </c>
      <c r="D27" s="20">
        <v>1733.916923076923</v>
      </c>
      <c r="E27" s="10">
        <f>E19+E21-E23-E26</f>
        <v>2540.4974719999987</v>
      </c>
      <c r="F27" s="10">
        <f>F19+F21-F23-F26</f>
        <v>2160.8164765440015</v>
      </c>
      <c r="G27" s="10">
        <f>G19+G21-G23-G26</f>
        <v>2359.2330025228798</v>
      </c>
      <c r="H27" s="10">
        <f>H19+H21-H23-H26</f>
        <v>2631.9509961782378</v>
      </c>
      <c r="I27" s="10">
        <f>I19+I21-I23-I26</f>
        <v>2988.0788402251628</v>
      </c>
      <c r="J27" s="15" t="s">
        <v>469</v>
      </c>
    </row>
    <row r="32" spans="2:10" x14ac:dyDescent="0.45">
      <c r="B32" s="7" t="s">
        <v>470</v>
      </c>
      <c r="C32" s="7"/>
      <c r="D32" s="7"/>
      <c r="E32" s="7"/>
      <c r="F32" s="7"/>
      <c r="G32" s="7"/>
      <c r="H32" s="7"/>
      <c r="I32" s="7"/>
      <c r="J32" s="7"/>
    </row>
    <row r="33" spans="2:10" x14ac:dyDescent="0.45">
      <c r="B33" s="8" t="s">
        <v>415</v>
      </c>
      <c r="C33" s="8" t="s">
        <v>6</v>
      </c>
      <c r="D33" s="8" t="s">
        <v>420</v>
      </c>
      <c r="E33" s="8" t="s">
        <v>448</v>
      </c>
      <c r="F33" s="8" t="s">
        <v>449</v>
      </c>
      <c r="G33" s="8" t="s">
        <v>450</v>
      </c>
      <c r="H33" s="8" t="s">
        <v>451</v>
      </c>
      <c r="I33" s="8" t="s">
        <v>452</v>
      </c>
      <c r="J33" s="8" t="s">
        <v>453</v>
      </c>
    </row>
    <row r="34" spans="2:10" x14ac:dyDescent="0.45">
      <c r="B34" s="5" t="s">
        <v>454</v>
      </c>
      <c r="C34" s="5" t="s">
        <v>73</v>
      </c>
      <c r="D34" s="12">
        <v>1.9220000000000001E-3</v>
      </c>
      <c r="E34" s="22">
        <f>Sources!$D$60</f>
        <v>-0.02</v>
      </c>
      <c r="F34" s="22">
        <f>Sources!$D$67</f>
        <v>0.02</v>
      </c>
      <c r="G34" s="22">
        <f>Sources!$D$74</f>
        <v>3.5000000000000003E-2</v>
      </c>
      <c r="H34" s="22">
        <f>Sources!$D$81</f>
        <v>0.04</v>
      </c>
      <c r="I34" s="22">
        <f>Sources!$D$88</f>
        <v>0.03</v>
      </c>
      <c r="J34" s="15" t="s">
        <v>455</v>
      </c>
    </row>
    <row r="35" spans="2:10" x14ac:dyDescent="0.45">
      <c r="B35" s="5" t="s">
        <v>422</v>
      </c>
      <c r="C35" s="5" t="s">
        <v>49</v>
      </c>
      <c r="D35" s="20">
        <v>46398</v>
      </c>
      <c r="E35" s="10">
        <f>D35*(1+E34)</f>
        <v>45470.04</v>
      </c>
      <c r="F35" s="10">
        <f>E35*(1+F34)</f>
        <v>46379.440800000004</v>
      </c>
      <c r="G35" s="10">
        <f>F35*(1+G34)</f>
        <v>48002.721228000002</v>
      </c>
      <c r="H35" s="10">
        <f>G35*(1+H34)</f>
        <v>49922.830077120001</v>
      </c>
      <c r="I35" s="10">
        <f>H35*(1+I34)</f>
        <v>51420.514979433603</v>
      </c>
      <c r="J35" s="15" t="s">
        <v>456</v>
      </c>
    </row>
    <row r="36" spans="2:10" x14ac:dyDescent="0.45">
      <c r="B36" s="5" t="s">
        <v>457</v>
      </c>
      <c r="C36" s="5" t="s">
        <v>73</v>
      </c>
      <c r="D36" s="12">
        <v>0.42913499999999999</v>
      </c>
      <c r="E36" s="22">
        <f>Sources!$D$61</f>
        <v>0.42499999999999999</v>
      </c>
      <c r="F36" s="22">
        <f>Sources!$D$68</f>
        <v>0.432</v>
      </c>
      <c r="G36" s="22">
        <f>Sources!$D$75</f>
        <v>0.44</v>
      </c>
      <c r="H36" s="22">
        <f>Sources!$D$82</f>
        <v>0.44500000000000001</v>
      </c>
      <c r="I36" s="22">
        <f>Sources!$D$89</f>
        <v>0.44800000000000001</v>
      </c>
      <c r="J36" s="15" t="s">
        <v>455</v>
      </c>
    </row>
    <row r="37" spans="2:10" x14ac:dyDescent="0.45">
      <c r="B37" s="5" t="s">
        <v>458</v>
      </c>
      <c r="C37" s="5" t="s">
        <v>49</v>
      </c>
      <c r="D37" s="20">
        <v>19911</v>
      </c>
      <c r="E37" s="10">
        <f>E35*E36</f>
        <v>19324.767</v>
      </c>
      <c r="F37" s="10">
        <f>F35*F36</f>
        <v>20035.918425600001</v>
      </c>
      <c r="G37" s="10">
        <f>G35*G36</f>
        <v>21121.197340320003</v>
      </c>
      <c r="H37" s="10">
        <f>H35*H36</f>
        <v>22215.659384318402</v>
      </c>
      <c r="I37" s="10">
        <f>I35*I36</f>
        <v>23036.390710786254</v>
      </c>
      <c r="J37" s="15" t="s">
        <v>456</v>
      </c>
    </row>
    <row r="38" spans="2:10" x14ac:dyDescent="0.45">
      <c r="B38" s="5" t="s">
        <v>459</v>
      </c>
      <c r="C38" s="5" t="s">
        <v>73</v>
      </c>
      <c r="D38" s="12">
        <v>0.34729945256261052</v>
      </c>
      <c r="E38" s="22">
        <f>Sources!$D$62</f>
        <v>0.35199999999999998</v>
      </c>
      <c r="F38" s="22">
        <f>Sources!$D$69</f>
        <v>0.34499999999999997</v>
      </c>
      <c r="G38" s="22">
        <f>Sources!$D$76</f>
        <v>0.33800000000000002</v>
      </c>
      <c r="H38" s="22">
        <f>Sources!$D$83</f>
        <v>0.33200000000000002</v>
      </c>
      <c r="I38" s="22">
        <f>Sources!$D$90</f>
        <v>0.32800000000000001</v>
      </c>
      <c r="J38" s="15" t="s">
        <v>455</v>
      </c>
    </row>
    <row r="39" spans="2:10" x14ac:dyDescent="0.45">
      <c r="B39" s="5" t="s">
        <v>460</v>
      </c>
      <c r="C39" s="5" t="s">
        <v>49</v>
      </c>
      <c r="D39" s="20">
        <v>16114</v>
      </c>
      <c r="E39" s="10">
        <f>E35*E38</f>
        <v>16005.45408</v>
      </c>
      <c r="F39" s="10">
        <f>F35*F38</f>
        <v>16000.907076</v>
      </c>
      <c r="G39" s="10">
        <f>G35*G38</f>
        <v>16224.919775064001</v>
      </c>
      <c r="H39" s="10">
        <f>H35*H38</f>
        <v>16574.379585603841</v>
      </c>
      <c r="I39" s="10">
        <f>I35*I38</f>
        <v>16865.928913254222</v>
      </c>
      <c r="J39" s="15" t="s">
        <v>456</v>
      </c>
    </row>
    <row r="40" spans="2:10" ht="25.5" x14ac:dyDescent="0.45">
      <c r="B40" s="5" t="s">
        <v>424</v>
      </c>
      <c r="C40" s="5" t="s">
        <v>49</v>
      </c>
      <c r="D40" s="20">
        <v>3797</v>
      </c>
      <c r="E40" s="10">
        <f>E37-E39</f>
        <v>3319.3129200000003</v>
      </c>
      <c r="F40" s="10">
        <f>F37-F39</f>
        <v>4035.0113496000013</v>
      </c>
      <c r="G40" s="10">
        <f>G37-G39</f>
        <v>4896.2775652560013</v>
      </c>
      <c r="H40" s="10">
        <f>H37-H39</f>
        <v>5641.2797987145605</v>
      </c>
      <c r="I40" s="10">
        <f>I37-I39</f>
        <v>6170.4617975320325</v>
      </c>
      <c r="J40" s="15" t="s">
        <v>461</v>
      </c>
    </row>
    <row r="41" spans="2:10" x14ac:dyDescent="0.45">
      <c r="B41" s="5" t="s">
        <v>426</v>
      </c>
      <c r="C41" s="5" t="s">
        <v>73</v>
      </c>
      <c r="D41" s="12">
        <v>8.1835000000000005E-2</v>
      </c>
      <c r="E41" s="23">
        <f>E40/E35</f>
        <v>7.3000000000000009E-2</v>
      </c>
      <c r="F41" s="23">
        <f>F40/F35</f>
        <v>8.7000000000000022E-2</v>
      </c>
      <c r="G41" s="23">
        <f>G40/G35</f>
        <v>0.10200000000000002</v>
      </c>
      <c r="H41" s="23">
        <f>H40/H35</f>
        <v>0.113</v>
      </c>
      <c r="I41" s="23">
        <f>I40/I35</f>
        <v>0.12000000000000001</v>
      </c>
      <c r="J41" s="15" t="s">
        <v>456</v>
      </c>
    </row>
    <row r="42" spans="2:10" x14ac:dyDescent="0.45">
      <c r="B42" s="5" t="s">
        <v>462</v>
      </c>
      <c r="C42" s="5" t="s">
        <v>73</v>
      </c>
      <c r="D42" s="12">
        <v>0.2030769230769231</v>
      </c>
      <c r="E42" s="22">
        <f>Sources!$D$63</f>
        <v>0.21</v>
      </c>
      <c r="F42" s="22">
        <f>Sources!$D$70</f>
        <v>0.21</v>
      </c>
      <c r="G42" s="22">
        <f>Sources!$D$77</f>
        <v>0.21</v>
      </c>
      <c r="H42" s="22">
        <f>Sources!$D$84</f>
        <v>0.21</v>
      </c>
      <c r="I42" s="22">
        <f>Sources!$D$91</f>
        <v>0.21</v>
      </c>
      <c r="J42" s="15" t="s">
        <v>455</v>
      </c>
    </row>
    <row r="43" spans="2:10" x14ac:dyDescent="0.45">
      <c r="B43" s="5" t="s">
        <v>463</v>
      </c>
      <c r="C43" s="5" t="s">
        <v>49</v>
      </c>
      <c r="D43" s="20">
        <v>771.08307692307687</v>
      </c>
      <c r="E43" s="10">
        <f>MAX(E40,0)*E42</f>
        <v>697.05571320000001</v>
      </c>
      <c r="F43" s="10">
        <f>MAX(F40,0)*F42</f>
        <v>847.35238341600018</v>
      </c>
      <c r="G43" s="10">
        <f>MAX(G40,0)*G42</f>
        <v>1028.2182887037602</v>
      </c>
      <c r="H43" s="10">
        <f>MAX(H40,0)*H42</f>
        <v>1184.6687577300577</v>
      </c>
      <c r="I43" s="10">
        <f>MAX(I40,0)*I42</f>
        <v>1295.7969774817268</v>
      </c>
      <c r="J43" s="15" t="s">
        <v>456</v>
      </c>
    </row>
    <row r="44" spans="2:10" x14ac:dyDescent="0.45">
      <c r="B44" s="5" t="s">
        <v>464</v>
      </c>
      <c r="C44" s="5" t="s">
        <v>49</v>
      </c>
      <c r="D44" s="20">
        <v>3025.916923076923</v>
      </c>
      <c r="E44" s="10">
        <f>E40-E43</f>
        <v>2622.2572068000004</v>
      </c>
      <c r="F44" s="10">
        <f>F40-F43</f>
        <v>3187.6589661840012</v>
      </c>
      <c r="G44" s="10">
        <f>G40-G43</f>
        <v>3868.059276552241</v>
      </c>
      <c r="H44" s="10">
        <f>H40-H43</f>
        <v>4456.6110409845023</v>
      </c>
      <c r="I44" s="10">
        <f>I40-I43</f>
        <v>4874.6648200503059</v>
      </c>
      <c r="J44" s="15" t="s">
        <v>456</v>
      </c>
    </row>
    <row r="45" spans="2:10" x14ac:dyDescent="0.45">
      <c r="B45" s="5" t="s">
        <v>465</v>
      </c>
      <c r="C45" s="5" t="s">
        <v>73</v>
      </c>
      <c r="D45" s="12">
        <v>1.6099831889305569E-2</v>
      </c>
      <c r="E45" s="22">
        <f>Sources!$D$64</f>
        <v>1.6E-2</v>
      </c>
      <c r="F45" s="22">
        <f>Sources!$D$71</f>
        <v>1.6E-2</v>
      </c>
      <c r="G45" s="22">
        <f>Sources!$D$78</f>
        <v>1.6E-2</v>
      </c>
      <c r="H45" s="22">
        <f>Sources!$D$85</f>
        <v>1.6E-2</v>
      </c>
      <c r="I45" s="22">
        <f>Sources!$D$92</f>
        <v>1.6E-2</v>
      </c>
      <c r="J45" s="15" t="s">
        <v>455</v>
      </c>
    </row>
    <row r="46" spans="2:10" x14ac:dyDescent="0.45">
      <c r="B46" s="5" t="s">
        <v>428</v>
      </c>
      <c r="C46" s="5" t="s">
        <v>49</v>
      </c>
      <c r="D46" s="20">
        <v>747</v>
      </c>
      <c r="E46" s="10">
        <f>E35*E45</f>
        <v>727.52064000000007</v>
      </c>
      <c r="F46" s="10">
        <f>F35*F45</f>
        <v>742.07105280000007</v>
      </c>
      <c r="G46" s="10">
        <f>G35*G45</f>
        <v>768.04353964800009</v>
      </c>
      <c r="H46" s="10">
        <f>H35*H45</f>
        <v>798.76528123392006</v>
      </c>
      <c r="I46" s="10">
        <f>I35*I45</f>
        <v>822.72823967093768</v>
      </c>
      <c r="J46" s="15" t="s">
        <v>456</v>
      </c>
    </row>
    <row r="47" spans="2:10" x14ac:dyDescent="0.45">
      <c r="B47" s="5" t="s">
        <v>466</v>
      </c>
      <c r="C47" s="5" t="s">
        <v>73</v>
      </c>
      <c r="D47" s="12">
        <v>1.4742014742014741E-2</v>
      </c>
      <c r="E47" s="22">
        <f>Sources!$D$65</f>
        <v>1.4999999999999999E-2</v>
      </c>
      <c r="F47" s="22">
        <f>Sources!$D$72</f>
        <v>1.6E-2</v>
      </c>
      <c r="G47" s="22">
        <f>Sources!$D$79</f>
        <v>1.7000000000000001E-2</v>
      </c>
      <c r="H47" s="22">
        <f>Sources!$D$86</f>
        <v>1.7000000000000001E-2</v>
      </c>
      <c r="I47" s="22">
        <f>Sources!$D$93</f>
        <v>1.7000000000000001E-2</v>
      </c>
      <c r="J47" s="15" t="s">
        <v>455</v>
      </c>
    </row>
    <row r="48" spans="2:10" x14ac:dyDescent="0.45">
      <c r="B48" s="5" t="s">
        <v>429</v>
      </c>
      <c r="C48" s="5" t="s">
        <v>49</v>
      </c>
      <c r="D48" s="20">
        <v>684</v>
      </c>
      <c r="E48" s="10">
        <f>E35*E47</f>
        <v>682.05060000000003</v>
      </c>
      <c r="F48" s="10">
        <f>F35*F47</f>
        <v>742.07105280000007</v>
      </c>
      <c r="G48" s="10">
        <f>G35*G47</f>
        <v>816.04626087600013</v>
      </c>
      <c r="H48" s="10">
        <f>H35*H47</f>
        <v>848.68811131104007</v>
      </c>
      <c r="I48" s="10">
        <f>I35*I47</f>
        <v>874.1487546503713</v>
      </c>
      <c r="J48" s="15" t="s">
        <v>456</v>
      </c>
    </row>
    <row r="49" spans="2:10" x14ac:dyDescent="0.45">
      <c r="B49" s="5" t="s">
        <v>467</v>
      </c>
      <c r="C49" s="5" t="s">
        <v>73</v>
      </c>
      <c r="D49" s="12">
        <v>0.118690460795724</v>
      </c>
      <c r="E49" s="22">
        <f>Sources!$D$66</f>
        <v>0.111</v>
      </c>
      <c r="F49" s="22">
        <f>Sources!$D$73</f>
        <v>0.108</v>
      </c>
      <c r="G49" s="22">
        <f>Sources!$D$80</f>
        <v>0.105</v>
      </c>
      <c r="H49" s="22">
        <f>Sources!$D$87</f>
        <v>0.10199999999999999</v>
      </c>
      <c r="I49" s="22">
        <f>Sources!$D$94</f>
        <v>0.1</v>
      </c>
      <c r="J49" s="15" t="s">
        <v>455</v>
      </c>
    </row>
    <row r="50" spans="2:10" x14ac:dyDescent="0.45">
      <c r="B50" s="5" t="s">
        <v>431</v>
      </c>
      <c r="C50" s="5" t="s">
        <v>49</v>
      </c>
      <c r="D50" s="20">
        <v>5507</v>
      </c>
      <c r="E50" s="10">
        <f>E35*E49</f>
        <v>5047.1744399999998</v>
      </c>
      <c r="F50" s="10">
        <f>F35*F49</f>
        <v>5008.9796064000002</v>
      </c>
      <c r="G50" s="10">
        <f>G35*G49</f>
        <v>5040.2857289399999</v>
      </c>
      <c r="H50" s="10">
        <f>H35*H49</f>
        <v>5092.12866786624</v>
      </c>
      <c r="I50" s="10">
        <f>I35*I49</f>
        <v>5142.051497943361</v>
      </c>
      <c r="J50" s="15" t="s">
        <v>456</v>
      </c>
    </row>
    <row r="51" spans="2:10" x14ac:dyDescent="0.45">
      <c r="B51" s="5" t="s">
        <v>432</v>
      </c>
      <c r="C51" s="5" t="s">
        <v>49</v>
      </c>
      <c r="D51" s="20">
        <v>1355</v>
      </c>
      <c r="E51" s="10">
        <f>E50-D50</f>
        <v>-459.82556000000022</v>
      </c>
      <c r="F51" s="10">
        <f>F50-E50</f>
        <v>-38.194833599999583</v>
      </c>
      <c r="G51" s="10">
        <f>G50-F50</f>
        <v>31.306122539999706</v>
      </c>
      <c r="H51" s="10">
        <f>H50-G50</f>
        <v>51.842938926240095</v>
      </c>
      <c r="I51" s="10">
        <f>I50-H50</f>
        <v>49.922830077121034</v>
      </c>
      <c r="J51" s="15" t="s">
        <v>456</v>
      </c>
    </row>
    <row r="52" spans="2:10" x14ac:dyDescent="0.45">
      <c r="B52" s="5" t="s">
        <v>468</v>
      </c>
      <c r="C52" s="5" t="s">
        <v>49</v>
      </c>
      <c r="D52" s="20">
        <v>1733.916923076923</v>
      </c>
      <c r="E52" s="10">
        <f>E44+E46-E48-E51</f>
        <v>3127.5528068000008</v>
      </c>
      <c r="F52" s="10">
        <f>F44+F46-F48-F51</f>
        <v>3225.8537997840008</v>
      </c>
      <c r="G52" s="10">
        <f>G44+G46-G48-G51</f>
        <v>3788.7504327842416</v>
      </c>
      <c r="H52" s="10">
        <f>H44+H46-H48-H51</f>
        <v>4354.8452719811421</v>
      </c>
      <c r="I52" s="10">
        <f>I44+I46-I48-I51</f>
        <v>4773.3214749937515</v>
      </c>
      <c r="J52" s="15" t="s">
        <v>469</v>
      </c>
    </row>
    <row r="57" spans="2:10" x14ac:dyDescent="0.45">
      <c r="B57" s="7" t="s">
        <v>471</v>
      </c>
      <c r="C57" s="7"/>
      <c r="D57" s="7"/>
      <c r="E57" s="7"/>
      <c r="F57" s="7"/>
      <c r="G57" s="7"/>
      <c r="H57" s="7"/>
      <c r="I57" s="7"/>
      <c r="J57" s="7"/>
    </row>
    <row r="58" spans="2:10" x14ac:dyDescent="0.45">
      <c r="B58" s="8" t="s">
        <v>415</v>
      </c>
      <c r="C58" s="8" t="s">
        <v>6</v>
      </c>
      <c r="D58" s="8" t="s">
        <v>420</v>
      </c>
      <c r="E58" s="8" t="s">
        <v>448</v>
      </c>
      <c r="F58" s="8" t="s">
        <v>449</v>
      </c>
      <c r="G58" s="8" t="s">
        <v>450</v>
      </c>
      <c r="H58" s="8" t="s">
        <v>451</v>
      </c>
      <c r="I58" s="8" t="s">
        <v>452</v>
      </c>
      <c r="J58" s="8" t="s">
        <v>453</v>
      </c>
    </row>
    <row r="59" spans="2:10" x14ac:dyDescent="0.45">
      <c r="B59" s="5" t="s">
        <v>454</v>
      </c>
      <c r="C59" s="5" t="s">
        <v>73</v>
      </c>
      <c r="D59" s="12">
        <v>1.9220000000000001E-3</v>
      </c>
      <c r="E59" s="22">
        <f>Sources!$D$95</f>
        <v>5.0000000000000001E-3</v>
      </c>
      <c r="F59" s="22">
        <f>Sources!$D$102</f>
        <v>0.04</v>
      </c>
      <c r="G59" s="22">
        <f>Sources!$D$109</f>
        <v>0.05</v>
      </c>
      <c r="H59" s="22">
        <f>Sources!$D$116</f>
        <v>0.05</v>
      </c>
      <c r="I59" s="22">
        <f>Sources!$D$123</f>
        <v>3.5000000000000003E-2</v>
      </c>
      <c r="J59" s="15" t="s">
        <v>455</v>
      </c>
    </row>
    <row r="60" spans="2:10" x14ac:dyDescent="0.45">
      <c r="B60" s="5" t="s">
        <v>422</v>
      </c>
      <c r="C60" s="5" t="s">
        <v>49</v>
      </c>
      <c r="D60" s="20">
        <v>46398</v>
      </c>
      <c r="E60" s="10">
        <f>D60*(1+E59)</f>
        <v>46629.99</v>
      </c>
      <c r="F60" s="10">
        <f>E60*(1+F59)</f>
        <v>48495.189599999998</v>
      </c>
      <c r="G60" s="10">
        <f>F60*(1+G59)</f>
        <v>50919.949079999999</v>
      </c>
      <c r="H60" s="10">
        <f>G60*(1+H59)</f>
        <v>53465.946534000002</v>
      </c>
      <c r="I60" s="10">
        <f>H60*(1+I59)</f>
        <v>55337.25466269</v>
      </c>
      <c r="J60" s="15" t="s">
        <v>456</v>
      </c>
    </row>
    <row r="61" spans="2:10" x14ac:dyDescent="0.45">
      <c r="B61" s="5" t="s">
        <v>457</v>
      </c>
      <c r="C61" s="5" t="s">
        <v>73</v>
      </c>
      <c r="D61" s="12">
        <v>0.42913499999999999</v>
      </c>
      <c r="E61" s="22">
        <f>Sources!$D$96</f>
        <v>0.43</v>
      </c>
      <c r="F61" s="22">
        <f>Sources!$D$103</f>
        <v>0.44</v>
      </c>
      <c r="G61" s="22">
        <f>Sources!$D$110</f>
        <v>0.45</v>
      </c>
      <c r="H61" s="22">
        <f>Sources!$D$117</f>
        <v>0.45500000000000002</v>
      </c>
      <c r="I61" s="22">
        <f>Sources!$D$124</f>
        <v>0.45800000000000002</v>
      </c>
      <c r="J61" s="15" t="s">
        <v>455</v>
      </c>
    </row>
    <row r="62" spans="2:10" x14ac:dyDescent="0.45">
      <c r="B62" s="5" t="s">
        <v>458</v>
      </c>
      <c r="C62" s="5" t="s">
        <v>49</v>
      </c>
      <c r="D62" s="20">
        <v>19911</v>
      </c>
      <c r="E62" s="10">
        <f>E60*E61</f>
        <v>20050.895699999997</v>
      </c>
      <c r="F62" s="10">
        <f>F60*F61</f>
        <v>21337.883424</v>
      </c>
      <c r="G62" s="10">
        <f>G60*G61</f>
        <v>22913.977085999999</v>
      </c>
      <c r="H62" s="10">
        <f>H60*H61</f>
        <v>24327.005672970001</v>
      </c>
      <c r="I62" s="10">
        <f>I60*I61</f>
        <v>25344.46263551202</v>
      </c>
      <c r="J62" s="15" t="s">
        <v>456</v>
      </c>
    </row>
    <row r="63" spans="2:10" x14ac:dyDescent="0.45">
      <c r="B63" s="5" t="s">
        <v>459</v>
      </c>
      <c r="C63" s="5" t="s">
        <v>73</v>
      </c>
      <c r="D63" s="12">
        <v>0.34729945256261052</v>
      </c>
      <c r="E63" s="22">
        <f>Sources!$D$97</f>
        <v>0.34799999999999998</v>
      </c>
      <c r="F63" s="22">
        <f>Sources!$D$104</f>
        <v>0.34</v>
      </c>
      <c r="G63" s="22">
        <f>Sources!$D$111</f>
        <v>0.33</v>
      </c>
      <c r="H63" s="22">
        <f>Sources!$D$118</f>
        <v>0.32200000000000001</v>
      </c>
      <c r="I63" s="22">
        <f>Sources!$D$125</f>
        <v>0.318</v>
      </c>
      <c r="J63" s="15" t="s">
        <v>455</v>
      </c>
    </row>
    <row r="64" spans="2:10" x14ac:dyDescent="0.45">
      <c r="B64" s="5" t="s">
        <v>460</v>
      </c>
      <c r="C64" s="5" t="s">
        <v>49</v>
      </c>
      <c r="D64" s="20">
        <v>16114</v>
      </c>
      <c r="E64" s="10">
        <f>E60*E63</f>
        <v>16227.236519999999</v>
      </c>
      <c r="F64" s="10">
        <f>F60*F63</f>
        <v>16488.364464000002</v>
      </c>
      <c r="G64" s="10">
        <f>G60*G63</f>
        <v>16803.583196399999</v>
      </c>
      <c r="H64" s="10">
        <f>H60*H63</f>
        <v>17216.034783948002</v>
      </c>
      <c r="I64" s="10">
        <f>I60*I63</f>
        <v>17597.246982735422</v>
      </c>
      <c r="J64" s="15" t="s">
        <v>456</v>
      </c>
    </row>
    <row r="65" spans="2:10" ht="25.5" x14ac:dyDescent="0.45">
      <c r="B65" s="5" t="s">
        <v>424</v>
      </c>
      <c r="C65" s="5" t="s">
        <v>49</v>
      </c>
      <c r="D65" s="20">
        <v>3797</v>
      </c>
      <c r="E65" s="10">
        <f>E62-E64</f>
        <v>3823.6591799999987</v>
      </c>
      <c r="F65" s="10">
        <f>F62-F64</f>
        <v>4849.5189599999976</v>
      </c>
      <c r="G65" s="10">
        <f>G62-G64</f>
        <v>6110.3938896</v>
      </c>
      <c r="H65" s="10">
        <f>H62-H64</f>
        <v>7110.970889021999</v>
      </c>
      <c r="I65" s="10">
        <f>I62-I64</f>
        <v>7747.2156527765983</v>
      </c>
      <c r="J65" s="15" t="s">
        <v>461</v>
      </c>
    </row>
    <row r="66" spans="2:10" x14ac:dyDescent="0.45">
      <c r="B66" s="5" t="s">
        <v>426</v>
      </c>
      <c r="C66" s="5" t="s">
        <v>73</v>
      </c>
      <c r="D66" s="12">
        <v>8.1835000000000005E-2</v>
      </c>
      <c r="E66" s="23">
        <f>E65/E60</f>
        <v>8.1999999999999976E-2</v>
      </c>
      <c r="F66" s="23">
        <f>F65/F60</f>
        <v>9.999999999999995E-2</v>
      </c>
      <c r="G66" s="23">
        <f>G65/G60</f>
        <v>0.12000000000000001</v>
      </c>
      <c r="H66" s="23">
        <f>H65/H60</f>
        <v>0.13299999999999998</v>
      </c>
      <c r="I66" s="23">
        <f>I65/I60</f>
        <v>0.13999999999999996</v>
      </c>
      <c r="J66" s="15" t="s">
        <v>456</v>
      </c>
    </row>
    <row r="67" spans="2:10" x14ac:dyDescent="0.45">
      <c r="B67" s="5" t="s">
        <v>462</v>
      </c>
      <c r="C67" s="5" t="s">
        <v>73</v>
      </c>
      <c r="D67" s="12">
        <v>0.2030769230769231</v>
      </c>
      <c r="E67" s="22">
        <f>Sources!$D$98</f>
        <v>0.21</v>
      </c>
      <c r="F67" s="22">
        <f>Sources!$D$105</f>
        <v>0.21</v>
      </c>
      <c r="G67" s="22">
        <f>Sources!$D$112</f>
        <v>0.21</v>
      </c>
      <c r="H67" s="22">
        <f>Sources!$D$119</f>
        <v>0.21</v>
      </c>
      <c r="I67" s="22">
        <f>Sources!$D$126</f>
        <v>0.21</v>
      </c>
      <c r="J67" s="15" t="s">
        <v>455</v>
      </c>
    </row>
    <row r="68" spans="2:10" x14ac:dyDescent="0.45">
      <c r="B68" s="5" t="s">
        <v>463</v>
      </c>
      <c r="C68" s="5" t="s">
        <v>49</v>
      </c>
      <c r="D68" s="20">
        <v>771.08307692307687</v>
      </c>
      <c r="E68" s="10">
        <f>MAX(E65,0)*E67</f>
        <v>802.96842779999974</v>
      </c>
      <c r="F68" s="10">
        <f>MAX(F65,0)*F67</f>
        <v>1018.3989815999995</v>
      </c>
      <c r="G68" s="10">
        <f>MAX(G65,0)*G67</f>
        <v>1283.182716816</v>
      </c>
      <c r="H68" s="10">
        <f>MAX(H65,0)*H67</f>
        <v>1493.3038866946197</v>
      </c>
      <c r="I68" s="10">
        <f>MAX(I65,0)*I67</f>
        <v>1626.9152870830856</v>
      </c>
      <c r="J68" s="15" t="s">
        <v>456</v>
      </c>
    </row>
    <row r="69" spans="2:10" x14ac:dyDescent="0.45">
      <c r="B69" s="5" t="s">
        <v>464</v>
      </c>
      <c r="C69" s="5" t="s">
        <v>49</v>
      </c>
      <c r="D69" s="20">
        <v>3025.916923076923</v>
      </c>
      <c r="E69" s="10">
        <f>E65-E68</f>
        <v>3020.6907521999992</v>
      </c>
      <c r="F69" s="10">
        <f>F65-F68</f>
        <v>3831.1199783999982</v>
      </c>
      <c r="G69" s="10">
        <f>G65-G68</f>
        <v>4827.2111727840002</v>
      </c>
      <c r="H69" s="10">
        <f>H65-H68</f>
        <v>5617.6670023273791</v>
      </c>
      <c r="I69" s="10">
        <f>I65-I68</f>
        <v>6120.3003656935125</v>
      </c>
      <c r="J69" s="15" t="s">
        <v>456</v>
      </c>
    </row>
    <row r="70" spans="2:10" x14ac:dyDescent="0.45">
      <c r="B70" s="5" t="s">
        <v>465</v>
      </c>
      <c r="C70" s="5" t="s">
        <v>73</v>
      </c>
      <c r="D70" s="12">
        <v>1.6099831889305569E-2</v>
      </c>
      <c r="E70" s="22">
        <f>Sources!$D$99</f>
        <v>1.6E-2</v>
      </c>
      <c r="F70" s="22">
        <f>Sources!$D$106</f>
        <v>1.6E-2</v>
      </c>
      <c r="G70" s="22">
        <f>Sources!$D$113</f>
        <v>1.6E-2</v>
      </c>
      <c r="H70" s="22">
        <f>Sources!$D$120</f>
        <v>1.7000000000000001E-2</v>
      </c>
      <c r="I70" s="22">
        <f>Sources!$D$127</f>
        <v>1.7000000000000001E-2</v>
      </c>
      <c r="J70" s="15" t="s">
        <v>455</v>
      </c>
    </row>
    <row r="71" spans="2:10" x14ac:dyDescent="0.45">
      <c r="B71" s="5" t="s">
        <v>428</v>
      </c>
      <c r="C71" s="5" t="s">
        <v>49</v>
      </c>
      <c r="D71" s="20">
        <v>747</v>
      </c>
      <c r="E71" s="10">
        <f>E60*E70</f>
        <v>746.07983999999999</v>
      </c>
      <c r="F71" s="10">
        <f>F60*F70</f>
        <v>775.92303359999994</v>
      </c>
      <c r="G71" s="10">
        <f>G60*G70</f>
        <v>814.71918528000003</v>
      </c>
      <c r="H71" s="10">
        <f>H60*H70</f>
        <v>908.92109107800013</v>
      </c>
      <c r="I71" s="10">
        <f>I60*I70</f>
        <v>940.73332926573005</v>
      </c>
      <c r="J71" s="15" t="s">
        <v>456</v>
      </c>
    </row>
    <row r="72" spans="2:10" x14ac:dyDescent="0.45">
      <c r="B72" s="5" t="s">
        <v>466</v>
      </c>
      <c r="C72" s="5" t="s">
        <v>73</v>
      </c>
      <c r="D72" s="12">
        <v>1.4742014742014741E-2</v>
      </c>
      <c r="E72" s="22">
        <f>Sources!$D$100</f>
        <v>1.7000000000000001E-2</v>
      </c>
      <c r="F72" s="22">
        <f>Sources!$D$107</f>
        <v>1.7999999999999999E-2</v>
      </c>
      <c r="G72" s="22">
        <f>Sources!$D$114</f>
        <v>1.9E-2</v>
      </c>
      <c r="H72" s="22">
        <f>Sources!$D$121</f>
        <v>1.9E-2</v>
      </c>
      <c r="I72" s="22">
        <f>Sources!$D$128</f>
        <v>1.7999999999999999E-2</v>
      </c>
      <c r="J72" s="15" t="s">
        <v>455</v>
      </c>
    </row>
    <row r="73" spans="2:10" x14ac:dyDescent="0.45">
      <c r="B73" s="5" t="s">
        <v>429</v>
      </c>
      <c r="C73" s="5" t="s">
        <v>49</v>
      </c>
      <c r="D73" s="20">
        <v>684</v>
      </c>
      <c r="E73" s="10">
        <f>E60*E72</f>
        <v>792.70983000000001</v>
      </c>
      <c r="F73" s="10">
        <f>F60*F72</f>
        <v>872.91341279999995</v>
      </c>
      <c r="G73" s="10">
        <f>G60*G72</f>
        <v>967.47903251999992</v>
      </c>
      <c r="H73" s="10">
        <f>H60*H72</f>
        <v>1015.852984146</v>
      </c>
      <c r="I73" s="10">
        <f>I60*I72</f>
        <v>996.07058392841998</v>
      </c>
      <c r="J73" s="15" t="s">
        <v>456</v>
      </c>
    </row>
    <row r="74" spans="2:10" x14ac:dyDescent="0.45">
      <c r="B74" s="5" t="s">
        <v>467</v>
      </c>
      <c r="C74" s="5" t="s">
        <v>73</v>
      </c>
      <c r="D74" s="12">
        <v>0.118690460795724</v>
      </c>
      <c r="E74" s="22">
        <f>Sources!$D$101</f>
        <v>0.108</v>
      </c>
      <c r="F74" s="22">
        <f>Sources!$D$108</f>
        <v>0.104</v>
      </c>
      <c r="G74" s="22">
        <f>Sources!$D$115</f>
        <v>0.1</v>
      </c>
      <c r="H74" s="22">
        <f>Sources!$D$122</f>
        <v>9.7000000000000003E-2</v>
      </c>
      <c r="I74" s="22">
        <f>Sources!$D$129</f>
        <v>9.5000000000000001E-2</v>
      </c>
      <c r="J74" s="15" t="s">
        <v>455</v>
      </c>
    </row>
    <row r="75" spans="2:10" x14ac:dyDescent="0.45">
      <c r="B75" s="5" t="s">
        <v>431</v>
      </c>
      <c r="C75" s="5" t="s">
        <v>49</v>
      </c>
      <c r="D75" s="20">
        <v>5507</v>
      </c>
      <c r="E75" s="10">
        <f>E60*E74</f>
        <v>5036.03892</v>
      </c>
      <c r="F75" s="10">
        <f>F60*F74</f>
        <v>5043.4997183999994</v>
      </c>
      <c r="G75" s="10">
        <f>G60*G74</f>
        <v>5091.9949080000006</v>
      </c>
      <c r="H75" s="10">
        <f>H60*H74</f>
        <v>5186.1968137980002</v>
      </c>
      <c r="I75" s="10">
        <f>I60*I74</f>
        <v>5257.0391929555499</v>
      </c>
      <c r="J75" s="15" t="s">
        <v>456</v>
      </c>
    </row>
    <row r="76" spans="2:10" x14ac:dyDescent="0.45">
      <c r="B76" s="5" t="s">
        <v>432</v>
      </c>
      <c r="C76" s="5" t="s">
        <v>49</v>
      </c>
      <c r="D76" s="20">
        <v>1355</v>
      </c>
      <c r="E76" s="10">
        <f>E75-D75</f>
        <v>-470.96108000000004</v>
      </c>
      <c r="F76" s="10">
        <f>F75-E75</f>
        <v>7.4607983999994758</v>
      </c>
      <c r="G76" s="10">
        <f>G75-F75</f>
        <v>48.49518960000114</v>
      </c>
      <c r="H76" s="10">
        <f>H75-G75</f>
        <v>94.201905797999643</v>
      </c>
      <c r="I76" s="10">
        <f>I75-H75</f>
        <v>70.842379157549658</v>
      </c>
      <c r="J76" s="15" t="s">
        <v>456</v>
      </c>
    </row>
    <row r="77" spans="2:10" x14ac:dyDescent="0.45">
      <c r="B77" s="5" t="s">
        <v>468</v>
      </c>
      <c r="C77" s="5" t="s">
        <v>49</v>
      </c>
      <c r="D77" s="20">
        <v>1733.916923076923</v>
      </c>
      <c r="E77" s="10">
        <f>E69+E71-E73-E76</f>
        <v>3445.0218421999989</v>
      </c>
      <c r="F77" s="10">
        <f>F69+F71-F73-F76</f>
        <v>3726.6688007999987</v>
      </c>
      <c r="G77" s="10">
        <f>G69+G71-G73-G76</f>
        <v>4625.9561359439986</v>
      </c>
      <c r="H77" s="10">
        <f>H69+H71-H73-H76</f>
        <v>5416.5332034613793</v>
      </c>
      <c r="I77" s="10">
        <f>I69+I71-I73-I76</f>
        <v>5994.1207318732731</v>
      </c>
      <c r="J77" s="15" t="s">
        <v>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36"/>
  <sheetViews>
    <sheetView showGridLines="0"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4.25" x14ac:dyDescent="0.45"/>
  <cols>
    <col min="1" max="1" width="2.73046875" customWidth="1"/>
    <col min="2" max="2" width="32.73046875" customWidth="1"/>
    <col min="3" max="3" width="17.73046875" customWidth="1"/>
    <col min="4" max="4" width="25.73046875" customWidth="1"/>
    <col min="5" max="5" width="18.73046875" customWidth="1"/>
    <col min="6" max="6" width="3.73046875" customWidth="1"/>
    <col min="7" max="7" width="32.73046875" customWidth="1"/>
    <col min="8" max="8" width="17.73046875" customWidth="1"/>
    <col min="9" max="9" width="25.73046875" customWidth="1"/>
    <col min="10" max="10" width="18.73046875" customWidth="1"/>
  </cols>
  <sheetData>
    <row r="2" spans="2:10" ht="23" customHeight="1" x14ac:dyDescent="0.5">
      <c r="B2" s="1" t="s">
        <v>472</v>
      </c>
      <c r="C2" s="1"/>
      <c r="D2" s="1"/>
      <c r="E2" s="1"/>
      <c r="F2" s="1"/>
      <c r="G2" s="1"/>
      <c r="H2" s="1"/>
      <c r="I2" s="1"/>
      <c r="J2" s="1"/>
    </row>
    <row r="3" spans="2:10" x14ac:dyDescent="0.45">
      <c r="B3" s="2" t="s">
        <v>473</v>
      </c>
    </row>
    <row r="7" spans="2:10" x14ac:dyDescent="0.45">
      <c r="B7" s="7" t="s">
        <v>474</v>
      </c>
      <c r="C7" s="7"/>
      <c r="D7" s="7"/>
      <c r="E7" s="7"/>
      <c r="G7" s="7" t="s">
        <v>475</v>
      </c>
      <c r="H7" s="7"/>
      <c r="I7" s="7"/>
      <c r="J7" s="7"/>
    </row>
    <row r="8" spans="2:10" x14ac:dyDescent="0.45">
      <c r="B8" s="8" t="s">
        <v>415</v>
      </c>
      <c r="C8" s="8" t="s">
        <v>6</v>
      </c>
      <c r="D8" s="8" t="s">
        <v>453</v>
      </c>
      <c r="E8" s="8" t="s">
        <v>5</v>
      </c>
      <c r="G8" s="8" t="s">
        <v>415</v>
      </c>
      <c r="H8" s="8" t="s">
        <v>6</v>
      </c>
      <c r="I8" s="8" t="s">
        <v>453</v>
      </c>
      <c r="J8" s="8" t="s">
        <v>5</v>
      </c>
    </row>
    <row r="9" spans="2:10" x14ac:dyDescent="0.45">
      <c r="B9" s="5" t="s">
        <v>476</v>
      </c>
      <c r="C9" s="5" t="s">
        <v>28</v>
      </c>
      <c r="D9" s="15" t="s">
        <v>477</v>
      </c>
      <c r="E9" s="24">
        <f>ReferenceMarketPrice</f>
        <v>38.4</v>
      </c>
      <c r="G9" s="5" t="s">
        <v>476</v>
      </c>
      <c r="H9" s="5" t="s">
        <v>28</v>
      </c>
      <c r="I9" s="15" t="s">
        <v>477</v>
      </c>
      <c r="J9" s="24">
        <f>ReferenceMarketPrice</f>
        <v>38.4</v>
      </c>
    </row>
    <row r="10" spans="2:10" x14ac:dyDescent="0.45">
      <c r="B10" s="5" t="s">
        <v>478</v>
      </c>
      <c r="C10" s="5" t="s">
        <v>34</v>
      </c>
      <c r="D10" s="15" t="s">
        <v>479</v>
      </c>
      <c r="E10" s="21">
        <f>ClassAShares</f>
        <v>281.38775199999998</v>
      </c>
      <c r="G10" s="5" t="s">
        <v>478</v>
      </c>
      <c r="H10" s="5" t="s">
        <v>34</v>
      </c>
      <c r="I10" s="15" t="s">
        <v>479</v>
      </c>
      <c r="J10" s="21">
        <f>ClassAShares</f>
        <v>281.38775199999998</v>
      </c>
    </row>
    <row r="11" spans="2:10" x14ac:dyDescent="0.45">
      <c r="B11" s="5" t="s">
        <v>480</v>
      </c>
      <c r="C11" s="5" t="s">
        <v>34</v>
      </c>
      <c r="D11" s="15" t="s">
        <v>481</v>
      </c>
      <c r="E11" s="21">
        <f>ClassBShares</f>
        <v>1202.1109510000001</v>
      </c>
      <c r="G11" s="5" t="s">
        <v>480</v>
      </c>
      <c r="H11" s="5" t="s">
        <v>34</v>
      </c>
      <c r="I11" s="15" t="s">
        <v>481</v>
      </c>
      <c r="J11" s="21">
        <f>ClassBShares</f>
        <v>1202.1109510000001</v>
      </c>
    </row>
    <row r="12" spans="2:10" x14ac:dyDescent="0.45">
      <c r="B12" s="5" t="s">
        <v>410</v>
      </c>
      <c r="C12" s="5" t="s">
        <v>34</v>
      </c>
      <c r="D12" s="15" t="s">
        <v>482</v>
      </c>
      <c r="E12" s="10">
        <f>E10+E11</f>
        <v>1483.4987030000002</v>
      </c>
      <c r="G12" s="5" t="s">
        <v>410</v>
      </c>
      <c r="H12" s="5" t="s">
        <v>34</v>
      </c>
      <c r="I12" s="15" t="s">
        <v>531</v>
      </c>
      <c r="J12" s="10">
        <f>J10+J11</f>
        <v>1483.4987030000002</v>
      </c>
    </row>
    <row r="13" spans="2:10" x14ac:dyDescent="0.45">
      <c r="B13" s="5" t="s">
        <v>483</v>
      </c>
      <c r="C13" s="5" t="s">
        <v>49</v>
      </c>
      <c r="D13" s="15" t="s">
        <v>484</v>
      </c>
      <c r="E13" s="10">
        <f>E9*E12</f>
        <v>56966.350195200008</v>
      </c>
      <c r="G13" s="5" t="s">
        <v>483</v>
      </c>
      <c r="H13" s="5" t="s">
        <v>49</v>
      </c>
      <c r="I13" s="15" t="s">
        <v>532</v>
      </c>
      <c r="J13" s="10">
        <f>J9*J12</f>
        <v>56966.350195200008</v>
      </c>
    </row>
    <row r="14" spans="2:10" x14ac:dyDescent="0.45">
      <c r="B14" s="5" t="s">
        <v>485</v>
      </c>
      <c r="C14" s="5" t="s">
        <v>49</v>
      </c>
      <c r="D14" s="15" t="s">
        <v>486</v>
      </c>
      <c r="E14" s="21">
        <f>Sources!D23</f>
        <v>30538</v>
      </c>
      <c r="G14" s="5" t="s">
        <v>485</v>
      </c>
      <c r="H14" s="5" t="s">
        <v>49</v>
      </c>
      <c r="I14" s="15" t="s">
        <v>486</v>
      </c>
      <c r="J14" s="21">
        <f>Sources!D23</f>
        <v>30538</v>
      </c>
    </row>
    <row r="15" spans="2:10" x14ac:dyDescent="0.45">
      <c r="B15" s="5" t="s">
        <v>487</v>
      </c>
      <c r="C15" s="5" t="s">
        <v>488</v>
      </c>
      <c r="D15" s="15" t="s">
        <v>489</v>
      </c>
      <c r="E15" s="21">
        <f>Sources!D27</f>
        <v>1</v>
      </c>
      <c r="G15" s="5" t="s">
        <v>487</v>
      </c>
      <c r="H15" s="5" t="s">
        <v>488</v>
      </c>
      <c r="I15" s="15" t="s">
        <v>489</v>
      </c>
      <c r="J15" s="21">
        <f>Sources!D27</f>
        <v>1</v>
      </c>
    </row>
    <row r="16" spans="2:10" x14ac:dyDescent="0.45">
      <c r="B16" s="5" t="s">
        <v>490</v>
      </c>
      <c r="C16" s="5" t="s">
        <v>49</v>
      </c>
      <c r="D16" s="15" t="s">
        <v>491</v>
      </c>
      <c r="E16" s="21">
        <f>Sources!D24</f>
        <v>13497</v>
      </c>
      <c r="G16" s="5" t="s">
        <v>490</v>
      </c>
      <c r="H16" s="5" t="s">
        <v>49</v>
      </c>
      <c r="I16" s="15" t="s">
        <v>491</v>
      </c>
      <c r="J16" s="21">
        <f>Sources!D24</f>
        <v>13497</v>
      </c>
    </row>
    <row r="17" spans="2:10" x14ac:dyDescent="0.45">
      <c r="B17" s="5" t="s">
        <v>492</v>
      </c>
      <c r="C17" s="5" t="s">
        <v>488</v>
      </c>
      <c r="D17" s="15" t="s">
        <v>493</v>
      </c>
      <c r="E17" s="21">
        <f>Sources!D28</f>
        <v>0.79</v>
      </c>
      <c r="G17" s="5" t="s">
        <v>492</v>
      </c>
      <c r="H17" s="5" t="s">
        <v>488</v>
      </c>
      <c r="I17" s="15" t="s">
        <v>493</v>
      </c>
      <c r="J17" s="21">
        <f>Sources!D28</f>
        <v>0.79</v>
      </c>
    </row>
    <row r="18" spans="2:10" x14ac:dyDescent="0.45">
      <c r="B18" s="5" t="s">
        <v>494</v>
      </c>
      <c r="C18" s="5" t="s">
        <v>49</v>
      </c>
      <c r="D18" s="15" t="s">
        <v>495</v>
      </c>
      <c r="E18" s="21">
        <f>Sources!D25</f>
        <v>2220</v>
      </c>
      <c r="G18" s="5" t="s">
        <v>494</v>
      </c>
      <c r="H18" s="5" t="s">
        <v>49</v>
      </c>
      <c r="I18" s="15" t="s">
        <v>495</v>
      </c>
      <c r="J18" s="21">
        <f>Sources!D25</f>
        <v>2220</v>
      </c>
    </row>
    <row r="19" spans="2:10" x14ac:dyDescent="0.45">
      <c r="B19" s="5" t="s">
        <v>496</v>
      </c>
      <c r="C19" s="5" t="s">
        <v>488</v>
      </c>
      <c r="D19" s="15" t="s">
        <v>497</v>
      </c>
      <c r="E19" s="21">
        <f>Sources!D29</f>
        <v>0.74</v>
      </c>
      <c r="G19" s="5" t="s">
        <v>496</v>
      </c>
      <c r="H19" s="5" t="s">
        <v>488</v>
      </c>
      <c r="I19" s="15" t="s">
        <v>497</v>
      </c>
      <c r="J19" s="21">
        <f>Sources!D29</f>
        <v>0.74</v>
      </c>
    </row>
    <row r="20" spans="2:10" x14ac:dyDescent="0.45">
      <c r="B20" s="5" t="s">
        <v>498</v>
      </c>
      <c r="C20" s="5" t="s">
        <v>49</v>
      </c>
      <c r="D20" s="15" t="s">
        <v>499</v>
      </c>
      <c r="E20" s="10">
        <f>E14+E16+E18</f>
        <v>46255</v>
      </c>
      <c r="G20" s="5" t="s">
        <v>498</v>
      </c>
      <c r="H20" s="5" t="s">
        <v>49</v>
      </c>
      <c r="I20" s="15" t="s">
        <v>533</v>
      </c>
      <c r="J20" s="10">
        <f>J14+J16+J18</f>
        <v>46255</v>
      </c>
    </row>
    <row r="21" spans="2:10" x14ac:dyDescent="0.45">
      <c r="B21" s="5" t="s">
        <v>500</v>
      </c>
      <c r="C21" s="5" t="s">
        <v>49</v>
      </c>
      <c r="D21" s="15" t="s">
        <v>501</v>
      </c>
      <c r="E21" s="21">
        <f>Sources!D26</f>
        <v>143</v>
      </c>
      <c r="G21" s="5" t="s">
        <v>500</v>
      </c>
      <c r="H21" s="5" t="s">
        <v>49</v>
      </c>
      <c r="I21" s="15" t="s">
        <v>501</v>
      </c>
      <c r="J21" s="21">
        <f>Sources!D26</f>
        <v>143</v>
      </c>
    </row>
    <row r="22" spans="2:10" x14ac:dyDescent="0.45">
      <c r="B22" s="5" t="s">
        <v>502</v>
      </c>
      <c r="C22" s="5" t="s">
        <v>49</v>
      </c>
      <c r="D22" s="15" t="s">
        <v>503</v>
      </c>
      <c r="E22" s="10">
        <f>E20+E21</f>
        <v>46398</v>
      </c>
      <c r="G22" s="5" t="s">
        <v>502</v>
      </c>
      <c r="H22" s="5" t="s">
        <v>49</v>
      </c>
      <c r="I22" s="15" t="s">
        <v>534</v>
      </c>
      <c r="J22" s="10">
        <f>J20+J21</f>
        <v>46398</v>
      </c>
    </row>
    <row r="23" spans="2:10" ht="25.5" x14ac:dyDescent="0.45">
      <c r="B23" s="5" t="s">
        <v>504</v>
      </c>
      <c r="C23" s="5" t="s">
        <v>488</v>
      </c>
      <c r="D23" s="15" t="s">
        <v>505</v>
      </c>
      <c r="E23" s="25">
        <f>(E14*E15+E16*E17+E18*E19)/E20</f>
        <v>0.92624429791373919</v>
      </c>
      <c r="G23" s="5" t="s">
        <v>504</v>
      </c>
      <c r="H23" s="5" t="s">
        <v>488</v>
      </c>
      <c r="I23" s="15" t="s">
        <v>535</v>
      </c>
      <c r="J23" s="25">
        <f>(J14*J15+J16*J17+J18*J19)/J20</f>
        <v>0.92624429791373919</v>
      </c>
    </row>
    <row r="24" spans="2:10" x14ac:dyDescent="0.45">
      <c r="B24" s="5" t="s">
        <v>506</v>
      </c>
      <c r="C24" s="5" t="s">
        <v>49</v>
      </c>
      <c r="D24" s="15" t="s">
        <v>507</v>
      </c>
      <c r="E24" s="21">
        <f>FairValueDebt</f>
        <v>6800</v>
      </c>
      <c r="G24" s="5" t="s">
        <v>506</v>
      </c>
      <c r="H24" s="5" t="s">
        <v>49</v>
      </c>
      <c r="I24" s="15" t="s">
        <v>536</v>
      </c>
      <c r="J24" s="21">
        <f>CarryingDebt</f>
        <v>7942</v>
      </c>
    </row>
    <row r="25" spans="2:10" x14ac:dyDescent="0.45">
      <c r="B25" s="5" t="s">
        <v>508</v>
      </c>
      <c r="C25" s="5" t="s">
        <v>73</v>
      </c>
      <c r="D25" s="15" t="s">
        <v>509</v>
      </c>
      <c r="E25" s="23">
        <f>E24/E13</f>
        <v>0.11936871463064118</v>
      </c>
      <c r="G25" s="5" t="s">
        <v>508</v>
      </c>
      <c r="H25" s="5" t="s">
        <v>73</v>
      </c>
      <c r="I25" s="15" t="s">
        <v>537</v>
      </c>
      <c r="J25" s="23">
        <f>J24/J13</f>
        <v>0.13941563699949297</v>
      </c>
    </row>
    <row r="26" spans="2:10" x14ac:dyDescent="0.45">
      <c r="B26" s="5" t="s">
        <v>462</v>
      </c>
      <c r="C26" s="5" t="s">
        <v>73</v>
      </c>
      <c r="D26" s="15" t="s">
        <v>510</v>
      </c>
      <c r="E26" s="22">
        <f>OperatingTaxRate</f>
        <v>0.21</v>
      </c>
      <c r="G26" s="5" t="s">
        <v>462</v>
      </c>
      <c r="H26" s="5" t="s">
        <v>73</v>
      </c>
      <c r="I26" s="15" t="s">
        <v>510</v>
      </c>
      <c r="J26" s="22">
        <f>OperatingTaxRate</f>
        <v>0.21</v>
      </c>
    </row>
    <row r="27" spans="2:10" x14ac:dyDescent="0.45">
      <c r="B27" s="5" t="s">
        <v>511</v>
      </c>
      <c r="C27" s="5" t="s">
        <v>488</v>
      </c>
      <c r="D27" s="15" t="s">
        <v>512</v>
      </c>
      <c r="E27" s="25">
        <f>E23*(1+(1-E26)*E24/E13)</f>
        <v>1.0135903250217189</v>
      </c>
      <c r="G27" s="5" t="s">
        <v>511</v>
      </c>
      <c r="H27" s="5" t="s">
        <v>488</v>
      </c>
      <c r="I27" s="15" t="s">
        <v>538</v>
      </c>
      <c r="J27" s="25">
        <f>J23*(1+(1-J26)*J24/J13)</f>
        <v>1.0282593195742649</v>
      </c>
    </row>
    <row r="28" spans="2:10" x14ac:dyDescent="0.45">
      <c r="B28" s="5" t="s">
        <v>513</v>
      </c>
      <c r="C28" s="5" t="s">
        <v>73</v>
      </c>
      <c r="D28" s="15" t="s">
        <v>514</v>
      </c>
      <c r="E28" s="22">
        <f>RiskFreeRate</f>
        <v>4.7800000000000002E-2</v>
      </c>
      <c r="G28" s="5" t="s">
        <v>513</v>
      </c>
      <c r="H28" s="5" t="s">
        <v>73</v>
      </c>
      <c r="I28" s="15" t="s">
        <v>514</v>
      </c>
      <c r="J28" s="22">
        <f>RiskFreeRate</f>
        <v>4.7800000000000002E-2</v>
      </c>
    </row>
    <row r="29" spans="2:10" x14ac:dyDescent="0.45">
      <c r="B29" s="5" t="s">
        <v>515</v>
      </c>
      <c r="C29" s="5" t="s">
        <v>73</v>
      </c>
      <c r="D29" s="15" t="s">
        <v>516</v>
      </c>
      <c r="E29" s="22">
        <f>EquityRiskPremium</f>
        <v>4.1399999999999999E-2</v>
      </c>
      <c r="G29" s="5" t="s">
        <v>515</v>
      </c>
      <c r="H29" s="5" t="s">
        <v>73</v>
      </c>
      <c r="I29" s="15" t="s">
        <v>516</v>
      </c>
      <c r="J29" s="22">
        <f>EquityRiskPremium</f>
        <v>4.1399999999999999E-2</v>
      </c>
    </row>
    <row r="30" spans="2:10" x14ac:dyDescent="0.45">
      <c r="B30" s="5" t="s">
        <v>517</v>
      </c>
      <c r="C30" s="5" t="s">
        <v>73</v>
      </c>
      <c r="D30" s="15" t="s">
        <v>518</v>
      </c>
      <c r="E30" s="11">
        <f>E28+E27*E29</f>
        <v>8.9762639455899157E-2</v>
      </c>
      <c r="G30" s="5" t="s">
        <v>517</v>
      </c>
      <c r="H30" s="5" t="s">
        <v>73</v>
      </c>
      <c r="I30" s="15" t="s">
        <v>539</v>
      </c>
      <c r="J30" s="11">
        <f>J28+J27*J29</f>
        <v>9.0369935830374559E-2</v>
      </c>
    </row>
    <row r="31" spans="2:10" x14ac:dyDescent="0.45">
      <c r="B31" s="5" t="s">
        <v>519</v>
      </c>
      <c r="C31" s="5" t="s">
        <v>73</v>
      </c>
      <c r="D31" s="15" t="s">
        <v>520</v>
      </c>
      <c r="E31" s="22">
        <f>DebtDefaultSpread</f>
        <v>7.7999999999999996E-3</v>
      </c>
      <c r="G31" s="5" t="s">
        <v>519</v>
      </c>
      <c r="H31" s="5" t="s">
        <v>73</v>
      </c>
      <c r="I31" s="15" t="s">
        <v>520</v>
      </c>
      <c r="J31" s="22">
        <f>DebtDefaultSpread</f>
        <v>7.7999999999999996E-3</v>
      </c>
    </row>
    <row r="32" spans="2:10" x14ac:dyDescent="0.45">
      <c r="B32" s="5" t="s">
        <v>521</v>
      </c>
      <c r="C32" s="5" t="s">
        <v>73</v>
      </c>
      <c r="D32" s="15" t="s">
        <v>522</v>
      </c>
      <c r="E32" s="23">
        <f>E28+E31</f>
        <v>5.5600000000000004E-2</v>
      </c>
      <c r="G32" s="5" t="s">
        <v>521</v>
      </c>
      <c r="H32" s="5" t="s">
        <v>73</v>
      </c>
      <c r="I32" s="15" t="s">
        <v>540</v>
      </c>
      <c r="J32" s="23">
        <f>J28+J31</f>
        <v>5.5600000000000004E-2</v>
      </c>
    </row>
    <row r="33" spans="2:10" x14ac:dyDescent="0.45">
      <c r="B33" s="5" t="s">
        <v>523</v>
      </c>
      <c r="C33" s="5" t="s">
        <v>73</v>
      </c>
      <c r="D33" s="15" t="s">
        <v>524</v>
      </c>
      <c r="E33" s="23">
        <f>E32*(1-E26)</f>
        <v>4.3924000000000005E-2</v>
      </c>
      <c r="G33" s="5" t="s">
        <v>523</v>
      </c>
      <c r="H33" s="5" t="s">
        <v>73</v>
      </c>
      <c r="I33" s="15" t="s">
        <v>541</v>
      </c>
      <c r="J33" s="23">
        <f>J32*(1-J26)</f>
        <v>4.3924000000000005E-2</v>
      </c>
    </row>
    <row r="34" spans="2:10" x14ac:dyDescent="0.45">
      <c r="B34" s="5" t="s">
        <v>525</v>
      </c>
      <c r="C34" s="5" t="s">
        <v>73</v>
      </c>
      <c r="D34" s="15" t="s">
        <v>526</v>
      </c>
      <c r="E34" s="23">
        <f>E13/(E13+E24)</f>
        <v>0.89336068350808839</v>
      </c>
      <c r="G34" s="5" t="s">
        <v>525</v>
      </c>
      <c r="H34" s="5" t="s">
        <v>73</v>
      </c>
      <c r="I34" s="15" t="s">
        <v>542</v>
      </c>
      <c r="J34" s="23">
        <f>J13/(J13+J24)</f>
        <v>0.87764286141743109</v>
      </c>
    </row>
    <row r="35" spans="2:10" x14ac:dyDescent="0.45">
      <c r="B35" s="5" t="s">
        <v>527</v>
      </c>
      <c r="C35" s="5" t="s">
        <v>73</v>
      </c>
      <c r="D35" s="15" t="s">
        <v>528</v>
      </c>
      <c r="E35" s="23">
        <f>E24/(E13+E24)</f>
        <v>0.10663931649191156</v>
      </c>
      <c r="G35" s="5" t="s">
        <v>527</v>
      </c>
      <c r="H35" s="5" t="s">
        <v>73</v>
      </c>
      <c r="I35" s="15" t="s">
        <v>543</v>
      </c>
      <c r="J35" s="23">
        <f>J24/(J13+J24)</f>
        <v>0.12235713858256889</v>
      </c>
    </row>
    <row r="36" spans="2:10" ht="19.05" customHeight="1" x14ac:dyDescent="0.45">
      <c r="B36" s="5" t="s">
        <v>529</v>
      </c>
      <c r="C36" s="5" t="s">
        <v>73</v>
      </c>
      <c r="D36" s="15" t="s">
        <v>530</v>
      </c>
      <c r="E36" s="11">
        <f>E34*E30+E35*E33</f>
        <v>8.4874438275402905E-2</v>
      </c>
      <c r="G36" s="5" t="s">
        <v>529</v>
      </c>
      <c r="H36" s="5" t="s">
        <v>73</v>
      </c>
      <c r="I36" s="15" t="s">
        <v>544</v>
      </c>
      <c r="J36" s="11">
        <f>J34*J30+J35*J33</f>
        <v>8.4686944023380312E-2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71"/>
  <sheetViews>
    <sheetView showGridLines="0" zoomScale="85" zoomScaleNormal="85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RowHeight="14.25" x14ac:dyDescent="0.45"/>
  <cols>
    <col min="1" max="1" width="2.73046875" customWidth="1"/>
    <col min="2" max="2" width="36.73046875" customWidth="1"/>
    <col min="3" max="3" width="16.73046875" customWidth="1"/>
    <col min="4" max="9" width="14.73046875" customWidth="1"/>
    <col min="10" max="10" width="3.73046875" customWidth="1"/>
    <col min="11" max="11" width="34.73046875" customWidth="1"/>
    <col min="12" max="14" width="17.73046875" customWidth="1"/>
  </cols>
  <sheetData>
    <row r="2" spans="2:14" ht="23" customHeight="1" x14ac:dyDescent="0.5">
      <c r="B2" s="1" t="s">
        <v>545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x14ac:dyDescent="0.45">
      <c r="B3" s="2" t="s">
        <v>546</v>
      </c>
    </row>
    <row r="6" spans="2:14" x14ac:dyDescent="0.45">
      <c r="B6" s="3" t="s">
        <v>547</v>
      </c>
      <c r="D6" s="17" t="str">
        <f>SelectedScenario</f>
        <v>Base</v>
      </c>
    </row>
    <row r="7" spans="2:14" x14ac:dyDescent="0.45">
      <c r="K7" s="7" t="s">
        <v>582</v>
      </c>
      <c r="L7" s="7"/>
      <c r="M7" s="7"/>
      <c r="N7" s="7"/>
    </row>
    <row r="8" spans="2:14" x14ac:dyDescent="0.45">
      <c r="K8" s="8" t="s">
        <v>415</v>
      </c>
      <c r="L8" s="8" t="s">
        <v>396</v>
      </c>
      <c r="M8" s="8" t="s">
        <v>397</v>
      </c>
      <c r="N8" s="8" t="s">
        <v>398</v>
      </c>
    </row>
    <row r="9" spans="2:14" x14ac:dyDescent="0.45">
      <c r="B9" s="7" t="s">
        <v>548</v>
      </c>
      <c r="C9" s="7"/>
      <c r="D9" s="7"/>
      <c r="E9" s="7"/>
      <c r="F9" s="7"/>
      <c r="G9" s="7"/>
      <c r="H9" s="7"/>
      <c r="I9" s="7"/>
      <c r="K9" s="5" t="s">
        <v>563</v>
      </c>
      <c r="L9" s="10">
        <f>SUMPRODUCT(Scenarios!E27:I27,1/(1+CalculatedWACC)^(($E$12:$I$12-ModelDate)/365))</f>
        <v>10126.75539865676</v>
      </c>
      <c r="M9" s="10">
        <f>SUMPRODUCT(Scenarios!E52:I52,1/(1+CalculatedWACC)^(($E$12:$I$12-ModelDate)/365))</f>
        <v>15231.303073308369</v>
      </c>
      <c r="N9" s="10">
        <f>SUMPRODUCT(Scenarios!E77:I77,1/(1+CalculatedWACC)^(($E$12:$I$12-ModelDate)/365))</f>
        <v>18247.27448956238</v>
      </c>
    </row>
    <row r="10" spans="2:14" x14ac:dyDescent="0.45">
      <c r="B10" s="8" t="s">
        <v>415</v>
      </c>
      <c r="C10" s="8" t="s">
        <v>6</v>
      </c>
      <c r="D10" s="8" t="s">
        <v>549</v>
      </c>
      <c r="E10" s="8" t="s">
        <v>448</v>
      </c>
      <c r="F10" s="8" t="s">
        <v>449</v>
      </c>
      <c r="G10" s="8" t="s">
        <v>450</v>
      </c>
      <c r="H10" s="8" t="s">
        <v>451</v>
      </c>
      <c r="I10" s="8" t="s">
        <v>452</v>
      </c>
      <c r="K10" s="5" t="s">
        <v>583</v>
      </c>
      <c r="L10" s="10">
        <f>Scenarios!I10*(1+TerminalGrowth)</f>
        <v>47495.369520846718</v>
      </c>
      <c r="M10" s="10">
        <f>Scenarios!I35*(1+TerminalGrowth)</f>
        <v>52706.027853919441</v>
      </c>
      <c r="N10" s="10">
        <f>Scenarios!I60*(1+TerminalGrowth)</f>
        <v>56720.686029257246</v>
      </c>
    </row>
    <row r="11" spans="2:14" x14ac:dyDescent="0.45">
      <c r="K11" s="5" t="s">
        <v>584</v>
      </c>
      <c r="L11" s="10">
        <f>L10*Scenarios!I11</f>
        <v>20328.018154922396</v>
      </c>
      <c r="M11" s="10">
        <f>M10*Scenarios!I36</f>
        <v>23612.30047855591</v>
      </c>
      <c r="N11" s="10">
        <f>N10*Scenarios!I61</f>
        <v>25978.074201399821</v>
      </c>
    </row>
    <row r="12" spans="2:14" x14ac:dyDescent="0.45">
      <c r="B12" s="5" t="s">
        <v>550</v>
      </c>
      <c r="C12" s="5" t="s">
        <v>15</v>
      </c>
      <c r="D12" s="6">
        <v>46269</v>
      </c>
      <c r="E12" s="6">
        <v>46538</v>
      </c>
      <c r="F12" s="6">
        <v>46904</v>
      </c>
      <c r="G12" s="6">
        <v>47269</v>
      </c>
      <c r="H12" s="6">
        <v>47634</v>
      </c>
      <c r="I12" s="6">
        <v>47999</v>
      </c>
      <c r="K12" s="5" t="s">
        <v>585</v>
      </c>
      <c r="L12" s="10">
        <f>L10*Scenarios!I13</f>
        <v>16433.397854212963</v>
      </c>
      <c r="M12" s="10">
        <f>M10*Scenarios!I38</f>
        <v>17287.577136085576</v>
      </c>
      <c r="N12" s="10">
        <f>N10*Scenarios!I63</f>
        <v>18037.178157303806</v>
      </c>
    </row>
    <row r="13" spans="2:14" x14ac:dyDescent="0.45">
      <c r="B13" s="5" t="s">
        <v>551</v>
      </c>
      <c r="C13" s="5" t="s">
        <v>49</v>
      </c>
      <c r="D13" s="20">
        <v>0</v>
      </c>
      <c r="E13" s="21">
        <f>CHOOSE(MATCH(SelectedScenario,ScenarioList,0),Scenarios!E27,Scenarios!E52,Scenarios!E77)</f>
        <v>3127.5528068000008</v>
      </c>
      <c r="F13" s="21">
        <f>CHOOSE(MATCH(SelectedScenario,ScenarioList,0),Scenarios!F27,Scenarios!F52,Scenarios!F77)</f>
        <v>3225.8537997840008</v>
      </c>
      <c r="G13" s="21">
        <f>CHOOSE(MATCH(SelectedScenario,ScenarioList,0),Scenarios!G27,Scenarios!G52,Scenarios!G77)</f>
        <v>3788.7504327842416</v>
      </c>
      <c r="H13" s="21">
        <f>CHOOSE(MATCH(SelectedScenario,ScenarioList,0),Scenarios!H27,Scenarios!H52,Scenarios!H77)</f>
        <v>4354.8452719811421</v>
      </c>
      <c r="I13" s="21">
        <f>CHOOSE(MATCH(SelectedScenario,ScenarioList,0),Scenarios!I27,Scenarios!I52,Scenarios!I77)</f>
        <v>4773.3214749937515</v>
      </c>
      <c r="K13" s="5" t="s">
        <v>586</v>
      </c>
      <c r="L13" s="10">
        <f>L11-L12</f>
        <v>3894.6203007094336</v>
      </c>
      <c r="M13" s="10">
        <f>M11-M12</f>
        <v>6324.7233424703336</v>
      </c>
      <c r="N13" s="10">
        <f>N11-N12</f>
        <v>7940.8960440960145</v>
      </c>
    </row>
    <row r="14" spans="2:14" x14ac:dyDescent="0.45">
      <c r="B14" s="5" t="s">
        <v>552</v>
      </c>
      <c r="C14" s="5" t="s">
        <v>488</v>
      </c>
      <c r="D14" s="16">
        <f t="shared" ref="D14:I14" si="0">(D12-ModelDate)/365</f>
        <v>0</v>
      </c>
      <c r="E14" s="16">
        <f t="shared" si="0"/>
        <v>0.73698630136986298</v>
      </c>
      <c r="F14" s="16">
        <f t="shared" si="0"/>
        <v>1.7397260273972603</v>
      </c>
      <c r="G14" s="16">
        <f t="shared" si="0"/>
        <v>2.7397260273972601</v>
      </c>
      <c r="H14" s="16">
        <f t="shared" si="0"/>
        <v>3.7397260273972601</v>
      </c>
      <c r="I14" s="16">
        <f t="shared" si="0"/>
        <v>4.7397260273972606</v>
      </c>
      <c r="K14" s="5" t="s">
        <v>587</v>
      </c>
      <c r="L14" s="10">
        <f>MAX(L13,0)*Scenarios!I17</f>
        <v>817.87026314898105</v>
      </c>
      <c r="M14" s="10">
        <f>MAX(M13,0)*Scenarios!I42</f>
        <v>1328.1919019187701</v>
      </c>
      <c r="N14" s="10">
        <f>MAX(N13,0)*Scenarios!I67</f>
        <v>1667.5881692601629</v>
      </c>
    </row>
    <row r="15" spans="2:14" x14ac:dyDescent="0.45">
      <c r="B15" s="5" t="s">
        <v>553</v>
      </c>
      <c r="C15" s="5" t="s">
        <v>488</v>
      </c>
      <c r="D15" s="16">
        <f t="shared" ref="D15:I15" si="1">1/(1+CalculatedWACC)^D14</f>
        <v>1</v>
      </c>
      <c r="E15" s="16">
        <f t="shared" si="1"/>
        <v>0.94172870941411013</v>
      </c>
      <c r="F15" s="16">
        <f t="shared" si="1"/>
        <v>0.86785946415925996</v>
      </c>
      <c r="G15" s="16">
        <f t="shared" si="1"/>
        <v>0.79996304967685838</v>
      </c>
      <c r="H15" s="16">
        <f t="shared" si="1"/>
        <v>0.73737846653345351</v>
      </c>
      <c r="I15" s="16">
        <f t="shared" si="1"/>
        <v>0.6796901470972484</v>
      </c>
      <c r="K15" s="5" t="s">
        <v>588</v>
      </c>
      <c r="L15" s="10">
        <f>L13-L14</f>
        <v>3076.7500375604527</v>
      </c>
      <c r="M15" s="10">
        <f>M13-M14</f>
        <v>4996.5314405515637</v>
      </c>
      <c r="N15" s="10">
        <f>N13-N14</f>
        <v>6273.3078748358512</v>
      </c>
    </row>
    <row r="16" spans="2:14" x14ac:dyDescent="0.45">
      <c r="B16" s="5" t="s">
        <v>554</v>
      </c>
      <c r="C16" s="5" t="s">
        <v>49</v>
      </c>
      <c r="D16" s="10">
        <f t="shared" ref="D16:I16" si="2">D13*D15</f>
        <v>0</v>
      </c>
      <c r="E16" s="10">
        <f t="shared" si="2"/>
        <v>2945.3062683722424</v>
      </c>
      <c r="F16" s="10">
        <f t="shared" si="2"/>
        <v>2799.5877501366558</v>
      </c>
      <c r="G16" s="10">
        <f t="shared" si="2"/>
        <v>3030.860350674599</v>
      </c>
      <c r="H16" s="10">
        <f t="shared" si="2"/>
        <v>3211.169128643915</v>
      </c>
      <c r="I16" s="10">
        <f t="shared" si="2"/>
        <v>3244.3795754809576</v>
      </c>
      <c r="K16" s="5" t="s">
        <v>589</v>
      </c>
      <c r="L16" s="10">
        <f>L10*Scenarios!I20</f>
        <v>712.43054281270076</v>
      </c>
      <c r="M16" s="10">
        <f>M10*Scenarios!I45</f>
        <v>843.29644566271111</v>
      </c>
      <c r="N16" s="10">
        <f>N10*Scenarios!I70</f>
        <v>964.25166249737322</v>
      </c>
    </row>
    <row r="17" spans="2:14" x14ac:dyDescent="0.45">
      <c r="K17" s="5" t="s">
        <v>590</v>
      </c>
      <c r="L17" s="10">
        <f>L10*Scenarios!I22</f>
        <v>712.43054281270076</v>
      </c>
      <c r="M17" s="10">
        <f>M10*Scenarios!I47</f>
        <v>896.00247351663052</v>
      </c>
      <c r="N17" s="10">
        <f>N10*Scenarios!I72</f>
        <v>1020.9723485266303</v>
      </c>
    </row>
    <row r="18" spans="2:14" x14ac:dyDescent="0.45">
      <c r="B18" s="5" t="s">
        <v>555</v>
      </c>
      <c r="I18" s="26">
        <f>SUM(E16:I16)</f>
        <v>15231.303073308369</v>
      </c>
      <c r="K18" s="5" t="s">
        <v>591</v>
      </c>
      <c r="L18" s="10">
        <f>L10*Scenarios!I24</f>
        <v>5461.9674948973725</v>
      </c>
      <c r="M18" s="10">
        <f>M10*Scenarios!I49</f>
        <v>5270.6027853919441</v>
      </c>
      <c r="N18" s="10">
        <f>N10*Scenarios!I74</f>
        <v>5388.465172779438</v>
      </c>
    </row>
    <row r="19" spans="2:14" x14ac:dyDescent="0.45">
      <c r="K19" s="5" t="s">
        <v>592</v>
      </c>
      <c r="L19" s="10">
        <f>L18-Scenarios!I25</f>
        <v>133.21871938773984</v>
      </c>
      <c r="M19" s="10">
        <f>M18-Scenarios!I50</f>
        <v>128.55128744858303</v>
      </c>
      <c r="N19" s="10">
        <f>N18-Scenarios!I75</f>
        <v>131.42597982388816</v>
      </c>
    </row>
    <row r="20" spans="2:14" x14ac:dyDescent="0.45">
      <c r="K20" s="5" t="s">
        <v>593</v>
      </c>
      <c r="L20" s="10">
        <f>L15+L16-L17-L19</f>
        <v>2943.5313181727129</v>
      </c>
      <c r="M20" s="10">
        <f>M15+M16-M17-M19</f>
        <v>4815.2741252490614</v>
      </c>
      <c r="N20" s="10">
        <f>N15+N16-N17-N19</f>
        <v>6085.1612089827058</v>
      </c>
    </row>
    <row r="21" spans="2:14" x14ac:dyDescent="0.45">
      <c r="B21" s="7" t="s">
        <v>556</v>
      </c>
      <c r="C21" s="7"/>
      <c r="D21" s="7"/>
      <c r="E21" s="7"/>
      <c r="K21" s="5" t="s">
        <v>594</v>
      </c>
      <c r="L21" s="10">
        <f>L13+L16</f>
        <v>4607.0508435221345</v>
      </c>
      <c r="M21" s="10">
        <f>M13+M16</f>
        <v>7168.019788133045</v>
      </c>
      <c r="N21" s="10">
        <f>N13+N16</f>
        <v>8905.1477065933868</v>
      </c>
    </row>
    <row r="22" spans="2:14" x14ac:dyDescent="0.45">
      <c r="B22" s="8" t="s">
        <v>415</v>
      </c>
      <c r="C22" s="8" t="s">
        <v>6</v>
      </c>
      <c r="D22" s="8" t="s">
        <v>452</v>
      </c>
      <c r="E22" s="8" t="s">
        <v>557</v>
      </c>
      <c r="K22" s="5" t="s">
        <v>560</v>
      </c>
      <c r="L22" s="10">
        <f>L20/(CalculatedWACC-TerminalGrowth)</f>
        <v>49161.73584181998</v>
      </c>
      <c r="M22" s="10">
        <f>M20/(CalculatedWACC-TerminalGrowth)</f>
        <v>80422.869323639738</v>
      </c>
      <c r="N22" s="10">
        <f>N20/(CalculatedWACC-TerminalGrowth)</f>
        <v>101632.0383832738</v>
      </c>
    </row>
    <row r="23" spans="2:14" x14ac:dyDescent="0.45">
      <c r="B23" s="5" t="s">
        <v>454</v>
      </c>
      <c r="C23" s="5" t="s">
        <v>73</v>
      </c>
      <c r="D23" s="22">
        <f>CHOOSE(MATCH(SelectedScenario,ScenarioList,0),Scenarios!I9,Scenarios!I34,Scenarios!I59)</f>
        <v>0.03</v>
      </c>
      <c r="E23" s="23">
        <f>TerminalGrowth</f>
        <v>2.5000000000000001E-2</v>
      </c>
      <c r="K23" s="5" t="s">
        <v>564</v>
      </c>
      <c r="L23" s="10">
        <f>L22/(1+CalculatedWACC)^((DATE(2031,5,31)-ModelDate)/365)</f>
        <v>33414.74746588269</v>
      </c>
      <c r="M23" s="10">
        <f>M22/(1+CalculatedWACC)^((DATE(2031,5,31)-ModelDate)/365)</f>
        <v>54662.631880567482</v>
      </c>
      <c r="N23" s="10">
        <f>N22/(1+CalculatedWACC)^((DATE(2031,5,31)-ModelDate)/365)</f>
        <v>69078.29511852056</v>
      </c>
    </row>
    <row r="24" spans="2:14" x14ac:dyDescent="0.45">
      <c r="B24" s="5" t="s">
        <v>422</v>
      </c>
      <c r="C24" s="5" t="s">
        <v>49</v>
      </c>
      <c r="D24" s="21">
        <f>CHOOSE(MATCH(SelectedScenario,ScenarioList,0),Scenarios!I10,Scenarios!I35,Scenarios!I60)</f>
        <v>51420.514979433603</v>
      </c>
      <c r="E24" s="10">
        <f>D24*(1+E23)</f>
        <v>52706.027853919441</v>
      </c>
      <c r="K24" s="5" t="s">
        <v>565</v>
      </c>
      <c r="L24" s="10">
        <f>L9+L23</f>
        <v>43541.502864539449</v>
      </c>
      <c r="M24" s="10">
        <f>M9+M23</f>
        <v>69893.934953875854</v>
      </c>
      <c r="N24" s="10">
        <f>N9+N23</f>
        <v>87325.569608082937</v>
      </c>
    </row>
    <row r="25" spans="2:14" x14ac:dyDescent="0.45">
      <c r="B25" s="5" t="s">
        <v>457</v>
      </c>
      <c r="C25" s="5" t="s">
        <v>73</v>
      </c>
      <c r="D25" s="22">
        <f>CHOOSE(MATCH(SelectedScenario,ScenarioList,0),Scenarios!I11,Scenarios!I36,Scenarios!I61)</f>
        <v>0.44800000000000001</v>
      </c>
      <c r="E25" s="23">
        <f>D25</f>
        <v>0.44800000000000001</v>
      </c>
      <c r="K25" s="5" t="s">
        <v>569</v>
      </c>
      <c r="L25" s="10">
        <f>L24+CashAndShortTermInvestments-CarryingDebt-RedeemablePreferredStock</f>
        <v>44626.202864539446</v>
      </c>
      <c r="M25" s="10">
        <f>M24+CashAndShortTermInvestments-CarryingDebt-RedeemablePreferredStock</f>
        <v>70978.634953875851</v>
      </c>
      <c r="N25" s="10">
        <f>N24+CashAndShortTermInvestments-CarryingDebt-RedeemablePreferredStock</f>
        <v>88410.269608082934</v>
      </c>
    </row>
    <row r="26" spans="2:14" x14ac:dyDescent="0.45">
      <c r="B26" s="5" t="s">
        <v>458</v>
      </c>
      <c r="C26" s="5" t="s">
        <v>49</v>
      </c>
      <c r="D26" s="21">
        <f>CHOOSE(MATCH(SelectedScenario,ScenarioList,0),Scenarios!I12,Scenarios!I37,Scenarios!I62)</f>
        <v>23036.390710786254</v>
      </c>
      <c r="E26" s="10">
        <f>E24*E25</f>
        <v>23612.30047855591</v>
      </c>
      <c r="K26" s="5" t="s">
        <v>571</v>
      </c>
      <c r="L26" s="27">
        <f>L25/DilutedProxyShares</f>
        <v>30.057413517212076</v>
      </c>
      <c r="M26" s="27">
        <f>M25/DilutedProxyShares</f>
        <v>47.80676026082299</v>
      </c>
      <c r="N26" s="27">
        <f>N25/DilutedProxyShares</f>
        <v>59.547616920146872</v>
      </c>
    </row>
    <row r="27" spans="2:14" x14ac:dyDescent="0.45">
      <c r="B27" s="5" t="s">
        <v>459</v>
      </c>
      <c r="C27" s="5" t="s">
        <v>73</v>
      </c>
      <c r="D27" s="22">
        <f>CHOOSE(MATCH(SelectedScenario,ScenarioList,0),Scenarios!I13,Scenarios!I38,Scenarios!I63)</f>
        <v>0.32800000000000001</v>
      </c>
      <c r="E27" s="23">
        <f>D27</f>
        <v>0.32800000000000001</v>
      </c>
      <c r="K27" s="5" t="s">
        <v>595</v>
      </c>
      <c r="L27" s="27">
        <f>L25/BasicShares</f>
        <v>30.081726916440346</v>
      </c>
      <c r="M27" s="27">
        <f>M25/BasicShares</f>
        <v>47.845431081496429</v>
      </c>
      <c r="N27" s="27">
        <f>N25/BasicShares</f>
        <v>59.595784903145223</v>
      </c>
    </row>
    <row r="28" spans="2:14" x14ac:dyDescent="0.45">
      <c r="B28" s="5" t="s">
        <v>460</v>
      </c>
      <c r="C28" s="5" t="s">
        <v>49</v>
      </c>
      <c r="D28" s="21">
        <f>CHOOSE(MATCH(SelectedScenario,ScenarioList,0),Scenarios!I14,Scenarios!I39,Scenarios!I64)</f>
        <v>16865.928913254222</v>
      </c>
      <c r="E28" s="10">
        <f>E24*E27</f>
        <v>17287.577136085576</v>
      </c>
      <c r="K28" s="5" t="s">
        <v>596</v>
      </c>
      <c r="L28" s="23">
        <f>L26/ReferenceMarketPrice-1</f>
        <v>-0.21725485632260211</v>
      </c>
      <c r="M28" s="23">
        <f>M26/ReferenceMarketPrice-1</f>
        <v>0.24496771512559867</v>
      </c>
      <c r="N28" s="23">
        <f>N26/ReferenceMarketPrice-1</f>
        <v>0.55071919062882491</v>
      </c>
    </row>
    <row r="29" spans="2:14" x14ac:dyDescent="0.45">
      <c r="B29" s="5" t="s">
        <v>424</v>
      </c>
      <c r="C29" s="5" t="s">
        <v>49</v>
      </c>
      <c r="D29" s="21">
        <f>CHOOSE(MATCH(SelectedScenario,ScenarioList,0),Scenarios!I15,Scenarios!I40,Scenarios!I65)</f>
        <v>6170.4617975320325</v>
      </c>
      <c r="E29" s="10">
        <f>E26-E28</f>
        <v>6324.7233424703336</v>
      </c>
      <c r="K29" s="5" t="s">
        <v>597</v>
      </c>
      <c r="L29" s="23">
        <f>L23/L24</f>
        <v>0.76742292451039695</v>
      </c>
      <c r="M29" s="23">
        <f>M23/M24</f>
        <v>0.78207976009134761</v>
      </c>
      <c r="N29" s="23">
        <f>N23/N24</f>
        <v>0.79104316672131514</v>
      </c>
    </row>
    <row r="30" spans="2:14" x14ac:dyDescent="0.45">
      <c r="B30" s="5" t="s">
        <v>426</v>
      </c>
      <c r="C30" s="5" t="s">
        <v>73</v>
      </c>
      <c r="D30" s="22">
        <f>CHOOSE(MATCH(SelectedScenario,ScenarioList,0),Scenarios!I16,Scenarios!I41,Scenarios!I66)</f>
        <v>0.12000000000000001</v>
      </c>
      <c r="E30" s="23">
        <f>E29/E24</f>
        <v>0.12000000000000001</v>
      </c>
      <c r="K30" s="5" t="s">
        <v>598</v>
      </c>
      <c r="L30" s="25">
        <f>L22/L21</f>
        <v>10.670977488981945</v>
      </c>
      <c r="M30" s="25">
        <f>M22/M21</f>
        <v>11.219677358701373</v>
      </c>
      <c r="N30" s="25">
        <f>N22/N21</f>
        <v>11.41272910139663</v>
      </c>
    </row>
    <row r="31" spans="2:14" x14ac:dyDescent="0.45">
      <c r="B31" s="5" t="s">
        <v>462</v>
      </c>
      <c r="C31" s="5" t="s">
        <v>73</v>
      </c>
      <c r="D31" s="22">
        <f>CHOOSE(MATCH(SelectedScenario,ScenarioList,0),Scenarios!I17,Scenarios!I42,Scenarios!I67)</f>
        <v>0.21</v>
      </c>
      <c r="E31" s="23">
        <f>D31</f>
        <v>0.21</v>
      </c>
    </row>
    <row r="32" spans="2:14" x14ac:dyDescent="0.45">
      <c r="B32" s="5" t="s">
        <v>463</v>
      </c>
      <c r="C32" s="5" t="s">
        <v>49</v>
      </c>
      <c r="D32" s="21">
        <f>CHOOSE(MATCH(SelectedScenario,ScenarioList,0),Scenarios!I18,Scenarios!I43,Scenarios!I68)</f>
        <v>1295.7969774817268</v>
      </c>
      <c r="E32" s="10">
        <f>MAX(E29,0)*E31</f>
        <v>1328.1919019187701</v>
      </c>
    </row>
    <row r="33" spans="2:5" x14ac:dyDescent="0.45">
      <c r="B33" s="5" t="s">
        <v>464</v>
      </c>
      <c r="C33" s="5" t="s">
        <v>49</v>
      </c>
      <c r="D33" s="21">
        <f>CHOOSE(MATCH(SelectedScenario,ScenarioList,0),Scenarios!I19,Scenarios!I44,Scenarios!I69)</f>
        <v>4874.6648200503059</v>
      </c>
      <c r="E33" s="10">
        <f>E29-E32</f>
        <v>4996.5314405515637</v>
      </c>
    </row>
    <row r="34" spans="2:5" x14ac:dyDescent="0.45">
      <c r="B34" s="5" t="s">
        <v>465</v>
      </c>
      <c r="C34" s="5" t="s">
        <v>73</v>
      </c>
      <c r="D34" s="22">
        <f>CHOOSE(MATCH(SelectedScenario,ScenarioList,0),Scenarios!I20,Scenarios!I45,Scenarios!I70)</f>
        <v>1.6E-2</v>
      </c>
      <c r="E34" s="23">
        <f>D34</f>
        <v>1.6E-2</v>
      </c>
    </row>
    <row r="35" spans="2:5" x14ac:dyDescent="0.45">
      <c r="B35" s="5" t="s">
        <v>428</v>
      </c>
      <c r="C35" s="5" t="s">
        <v>49</v>
      </c>
      <c r="D35" s="21">
        <f>CHOOSE(MATCH(SelectedScenario,ScenarioList,0),Scenarios!I21,Scenarios!I46,Scenarios!I71)</f>
        <v>822.72823967093768</v>
      </c>
      <c r="E35" s="10">
        <f>E24*E34</f>
        <v>843.29644566271111</v>
      </c>
    </row>
    <row r="36" spans="2:5" x14ac:dyDescent="0.45">
      <c r="B36" s="5" t="s">
        <v>466</v>
      </c>
      <c r="C36" s="5" t="s">
        <v>73</v>
      </c>
      <c r="D36" s="22">
        <f>CHOOSE(MATCH(SelectedScenario,ScenarioList,0),Scenarios!I22,Scenarios!I47,Scenarios!I72)</f>
        <v>1.7000000000000001E-2</v>
      </c>
      <c r="E36" s="23">
        <f>D36</f>
        <v>1.7000000000000001E-2</v>
      </c>
    </row>
    <row r="37" spans="2:5" x14ac:dyDescent="0.45">
      <c r="B37" s="5" t="s">
        <v>429</v>
      </c>
      <c r="C37" s="5" t="s">
        <v>49</v>
      </c>
      <c r="D37" s="21">
        <f>CHOOSE(MATCH(SelectedScenario,ScenarioList,0),Scenarios!I23,Scenarios!I48,Scenarios!I73)</f>
        <v>874.1487546503713</v>
      </c>
      <c r="E37" s="10">
        <f>E24*E36</f>
        <v>896.00247351663052</v>
      </c>
    </row>
    <row r="38" spans="2:5" x14ac:dyDescent="0.45">
      <c r="B38" s="5" t="s">
        <v>467</v>
      </c>
      <c r="C38" s="5" t="s">
        <v>73</v>
      </c>
      <c r="D38" s="22">
        <f>CHOOSE(MATCH(SelectedScenario,ScenarioList,0),Scenarios!I24,Scenarios!I49,Scenarios!I74)</f>
        <v>0.1</v>
      </c>
      <c r="E38" s="23">
        <f>D38</f>
        <v>0.1</v>
      </c>
    </row>
    <row r="39" spans="2:5" x14ac:dyDescent="0.45">
      <c r="B39" s="5" t="s">
        <v>431</v>
      </c>
      <c r="C39" s="5" t="s">
        <v>49</v>
      </c>
      <c r="D39" s="21">
        <f>CHOOSE(MATCH(SelectedScenario,ScenarioList,0),Scenarios!I25,Scenarios!I50,Scenarios!I75)</f>
        <v>5142.051497943361</v>
      </c>
      <c r="E39" s="10">
        <f>E24*E38</f>
        <v>5270.6027853919441</v>
      </c>
    </row>
    <row r="40" spans="2:5" x14ac:dyDescent="0.45">
      <c r="B40" s="5" t="s">
        <v>432</v>
      </c>
      <c r="C40" s="5" t="s">
        <v>49</v>
      </c>
      <c r="D40" s="21">
        <f>CHOOSE(MATCH(SelectedScenario,ScenarioList,0),Scenarios!I26,Scenarios!I51,Scenarios!I76)</f>
        <v>49.922830077121034</v>
      </c>
      <c r="E40" s="10">
        <f>E39-D39</f>
        <v>128.55128744858303</v>
      </c>
    </row>
    <row r="41" spans="2:5" x14ac:dyDescent="0.45">
      <c r="B41" s="5" t="s">
        <v>558</v>
      </c>
      <c r="C41" s="5" t="s">
        <v>49</v>
      </c>
      <c r="D41" s="21">
        <f>CHOOSE(MATCH(SelectedScenario,ScenarioList,0),Scenarios!I27,Scenarios!I52,Scenarios!I77)</f>
        <v>4773.3214749937515</v>
      </c>
      <c r="E41" s="10">
        <f>E33+E35-E37-E40</f>
        <v>4815.2741252490614</v>
      </c>
    </row>
    <row r="42" spans="2:5" x14ac:dyDescent="0.45">
      <c r="B42" s="5" t="s">
        <v>559</v>
      </c>
      <c r="C42" s="5" t="s">
        <v>49</v>
      </c>
      <c r="D42" s="21">
        <f>D29+D35</f>
        <v>6993.1900372029704</v>
      </c>
      <c r="E42" s="10">
        <f>E29+E35</f>
        <v>7168.019788133045</v>
      </c>
    </row>
    <row r="45" spans="2:5" x14ac:dyDescent="0.45">
      <c r="B45" s="5" t="s">
        <v>560</v>
      </c>
      <c r="E45" s="10">
        <f>E41/(CalculatedWACC-TerminalGrowth)</f>
        <v>80422.869323639738</v>
      </c>
    </row>
    <row r="46" spans="2:5" x14ac:dyDescent="0.45">
      <c r="B46" s="5" t="s">
        <v>561</v>
      </c>
      <c r="E46" s="10">
        <f>E45/(1+CalculatedWACC)^((DATE(2031,5,31)-ModelDate)/365)</f>
        <v>54662.631880567482</v>
      </c>
    </row>
    <row r="49" spans="2:5" x14ac:dyDescent="0.45">
      <c r="B49" s="7" t="s">
        <v>562</v>
      </c>
      <c r="C49" s="7"/>
      <c r="D49" s="7"/>
      <c r="E49" s="7"/>
    </row>
    <row r="50" spans="2:5" x14ac:dyDescent="0.45">
      <c r="B50" s="5" t="s">
        <v>563</v>
      </c>
      <c r="E50" s="10">
        <f>I18</f>
        <v>15231.303073308369</v>
      </c>
    </row>
    <row r="51" spans="2:5" x14ac:dyDescent="0.45">
      <c r="B51" s="5" t="s">
        <v>564</v>
      </c>
      <c r="E51" s="10">
        <f>E46</f>
        <v>54662.631880567482</v>
      </c>
    </row>
    <row r="52" spans="2:5" x14ac:dyDescent="0.45">
      <c r="B52" s="5" t="s">
        <v>565</v>
      </c>
      <c r="E52" s="26">
        <f>E50+E51</f>
        <v>69893.934953875854</v>
      </c>
    </row>
    <row r="53" spans="2:5" x14ac:dyDescent="0.45">
      <c r="B53" s="5" t="s">
        <v>412</v>
      </c>
      <c r="E53" s="10">
        <f>CashAndShortTermInvestments</f>
        <v>9027</v>
      </c>
    </row>
    <row r="54" spans="2:5" x14ac:dyDescent="0.45">
      <c r="B54" s="5" t="s">
        <v>566</v>
      </c>
      <c r="E54" s="10">
        <f>CarryingDebt</f>
        <v>7942</v>
      </c>
    </row>
    <row r="55" spans="2:5" x14ac:dyDescent="0.45">
      <c r="B55" s="5" t="s">
        <v>567</v>
      </c>
      <c r="E55" s="10">
        <f>RedeemablePreferredStock</f>
        <v>0.3</v>
      </c>
    </row>
    <row r="56" spans="2:5" x14ac:dyDescent="0.45">
      <c r="B56" s="5" t="s">
        <v>568</v>
      </c>
      <c r="E56" s="10">
        <f>0</f>
        <v>0</v>
      </c>
    </row>
    <row r="57" spans="2:5" x14ac:dyDescent="0.45">
      <c r="B57" s="5" t="s">
        <v>569</v>
      </c>
      <c r="E57" s="26">
        <f>E52+E53-E54-E55+E56</f>
        <v>70978.634953875851</v>
      </c>
    </row>
    <row r="58" spans="2:5" x14ac:dyDescent="0.45">
      <c r="B58" s="5" t="s">
        <v>570</v>
      </c>
      <c r="E58" s="10">
        <f>DilutedProxyShares</f>
        <v>1484.6987030000003</v>
      </c>
    </row>
    <row r="59" spans="2:5" x14ac:dyDescent="0.45">
      <c r="B59" s="5" t="s">
        <v>571</v>
      </c>
      <c r="E59" s="28">
        <f>E57/E58</f>
        <v>47.80676026082299</v>
      </c>
    </row>
    <row r="60" spans="2:5" x14ac:dyDescent="0.45">
      <c r="B60" s="5" t="s">
        <v>572</v>
      </c>
      <c r="E60" s="27">
        <f>E57/BasicShares</f>
        <v>47.845431081496429</v>
      </c>
    </row>
    <row r="61" spans="2:5" x14ac:dyDescent="0.45">
      <c r="B61" s="5" t="s">
        <v>573</v>
      </c>
      <c r="E61" s="27">
        <f>ReferenceMarketPrice</f>
        <v>38.4</v>
      </c>
    </row>
    <row r="62" spans="2:5" x14ac:dyDescent="0.45">
      <c r="B62" s="5" t="s">
        <v>574</v>
      </c>
      <c r="E62" s="23">
        <f>E59/E61-1</f>
        <v>0.24496771512559867</v>
      </c>
    </row>
    <row r="63" spans="2:5" x14ac:dyDescent="0.45">
      <c r="B63" s="5" t="s">
        <v>575</v>
      </c>
      <c r="E63" s="23">
        <f>E51/E52</f>
        <v>0.78207976009134761</v>
      </c>
    </row>
    <row r="64" spans="2:5" x14ac:dyDescent="0.45">
      <c r="B64" s="5" t="s">
        <v>576</v>
      </c>
      <c r="E64" s="25">
        <f>E45/E42</f>
        <v>11.219677358701373</v>
      </c>
    </row>
    <row r="65" spans="2:9" x14ac:dyDescent="0.45">
      <c r="B65" s="5" t="s">
        <v>577</v>
      </c>
      <c r="E65" s="10">
        <f>OperatingLeaseLiabilitiesMemo</f>
        <v>3091</v>
      </c>
    </row>
    <row r="67" spans="2:9" x14ac:dyDescent="0.45">
      <c r="B67" s="5" t="s">
        <v>578</v>
      </c>
      <c r="E67" s="10">
        <f>XNPV(CalculatedWACC,D71:I71,D12:I12)</f>
        <v>69893.93495387584</v>
      </c>
    </row>
    <row r="68" spans="2:9" x14ac:dyDescent="0.45">
      <c r="B68" s="5" t="s">
        <v>579</v>
      </c>
      <c r="E68" s="10">
        <f>E52</f>
        <v>69893.934953875854</v>
      </c>
    </row>
    <row r="69" spans="2:9" x14ac:dyDescent="0.45">
      <c r="B69" s="5" t="s">
        <v>580</v>
      </c>
      <c r="E69" s="10">
        <f>E67-E68</f>
        <v>0</v>
      </c>
    </row>
    <row r="71" spans="2:9" x14ac:dyDescent="0.45">
      <c r="B71" s="15" t="s">
        <v>581</v>
      </c>
      <c r="D71" s="20">
        <v>0</v>
      </c>
      <c r="E71" s="10">
        <f>E13</f>
        <v>3127.5528068000008</v>
      </c>
      <c r="F71" s="10">
        <f>F13</f>
        <v>3225.8537997840008</v>
      </c>
      <c r="G71" s="10">
        <f>G13</f>
        <v>3788.7504327842416</v>
      </c>
      <c r="H71" s="10">
        <f>H13</f>
        <v>4354.8452719811421</v>
      </c>
      <c r="I71" s="10">
        <f>I13+E45</f>
        <v>85196.190798633485</v>
      </c>
    </row>
  </sheetData>
  <pageMargins left="0.7" right="0.7" top="0.75" bottom="0.75" header="0.3" footer="0.3"/>
  <ignoredErrors>
    <ignoredError sqref="E10:N7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30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4.25" x14ac:dyDescent="0.45"/>
  <cols>
    <col min="1" max="1" width="2.73046875" customWidth="1"/>
    <col min="2" max="2" width="30.73046875" customWidth="1"/>
    <col min="3" max="3" width="16.73046875" customWidth="1"/>
    <col min="4" max="8" width="15.73046875" customWidth="1"/>
  </cols>
  <sheetData>
    <row r="2" spans="2:9" ht="23" customHeight="1" x14ac:dyDescent="0.5">
      <c r="B2" s="1" t="s">
        <v>599</v>
      </c>
      <c r="C2" s="1"/>
      <c r="D2" s="1"/>
      <c r="E2" s="1"/>
      <c r="F2" s="1"/>
      <c r="G2" s="1"/>
      <c r="H2" s="1"/>
      <c r="I2" s="1"/>
    </row>
    <row r="3" spans="2:9" x14ac:dyDescent="0.45">
      <c r="B3" s="2" t="s">
        <v>600</v>
      </c>
    </row>
    <row r="7" spans="2:9" x14ac:dyDescent="0.45">
      <c r="B7" s="7" t="s">
        <v>601</v>
      </c>
      <c r="C7" s="7"/>
      <c r="D7" s="7"/>
      <c r="E7" s="7"/>
      <c r="F7" s="7"/>
      <c r="G7" s="7"/>
      <c r="H7" s="7"/>
    </row>
    <row r="8" spans="2:9" x14ac:dyDescent="0.45">
      <c r="C8" s="8" t="s">
        <v>602</v>
      </c>
      <c r="D8" s="22">
        <f>Sources!$D$36</f>
        <v>1.4999999999999999E-2</v>
      </c>
      <c r="E8" s="22">
        <f>Sources!$D$37</f>
        <v>0.02</v>
      </c>
      <c r="F8" s="22">
        <f>Sources!$D$38</f>
        <v>2.5000000000000001E-2</v>
      </c>
      <c r="G8" s="22">
        <f>Sources!$D$39</f>
        <v>0.03</v>
      </c>
      <c r="H8" s="22">
        <f>Sources!$D$40</f>
        <v>3.5000000000000003E-2</v>
      </c>
    </row>
    <row r="9" spans="2:9" x14ac:dyDescent="0.45">
      <c r="C9" s="23">
        <f>CalculatedWACC+Sources!$D$31</f>
        <v>7.487443827540291E-2</v>
      </c>
      <c r="D9" s="27">
        <f>(SUMPRODUCT(Scenarios!E52:I52,1/(1+$C9)^((DCF!$E$12:$I$12-ModelDate)/365))+(D29/($C9-D$8))/(1+$C9)^((DATE(2031,5,31)-ModelDate)/365)+CashAndShortTermInvestments-CarryingDebt-RedeemablePreferredStock)/DilutedProxyShares</f>
        <v>49.755123462165336</v>
      </c>
      <c r="E9" s="27">
        <f>(SUMPRODUCT(Scenarios!E52:I52,1/(1+$C9)^((DCF!$E$12:$I$12-ModelDate)/365))+(E29/($C9-E$8))/(1+$C9)^((DATE(2031,5,31)-ModelDate)/365)+CashAndShortTermInvestments-CarryingDebt-RedeemablePreferredStock)/DilutedProxyShares</f>
        <v>53.248759339077942</v>
      </c>
      <c r="F9" s="27">
        <f>(SUMPRODUCT(Scenarios!E52:I52,1/(1+$C9)^((DCF!$E$12:$I$12-ModelDate)/365))+(F29/($C9-F$8))/(1+$C9)^((DATE(2031,5,31)-ModelDate)/365)+CashAndShortTermInvestments-CarryingDebt-RedeemablePreferredStock)/DilutedProxyShares</f>
        <v>57.442881476631882</v>
      </c>
      <c r="G9" s="27">
        <f>(SUMPRODUCT(Scenarios!E52:I52,1/(1+$C9)^((DCF!$E$12:$I$12-ModelDate)/365))+(G29/($C9-G$8))/(1+$C9)^((DATE(2031,5,31)-ModelDate)/365)+CashAndShortTermInvestments-CarryingDebt-RedeemablePreferredStock)/DilutedProxyShares</f>
        <v>62.571638631077548</v>
      </c>
      <c r="H9" s="27">
        <f>(SUMPRODUCT(Scenarios!E52:I52,1/(1+$C9)^((DCF!$E$12:$I$12-ModelDate)/365))+(H29/($C9-H$8))/(1+$C9)^((DATE(2031,5,31)-ModelDate)/365)+CashAndShortTermInvestments-CarryingDebt-RedeemablePreferredStock)/DilutedProxyShares</f>
        <v>68.986622595546947</v>
      </c>
    </row>
    <row r="10" spans="2:9" x14ac:dyDescent="0.45">
      <c r="C10" s="23">
        <f>CalculatedWACC+Sources!$D$32</f>
        <v>7.9874438275402901E-2</v>
      </c>
      <c r="D10" s="27">
        <f>(SUMPRODUCT(Scenarios!E52:I52,1/(1+$C10)^((DCF!$E$12:$I$12-ModelDate)/365))+(D29/($C10-D$8))/(1+$C10)^((DATE(2031,5,31)-ModelDate)/365)+CashAndShortTermInvestments-CarryingDebt-RedeemablePreferredStock)/DilutedProxyShares</f>
        <v>45.878408614111976</v>
      </c>
      <c r="E10" s="27">
        <f>(SUMPRODUCT(Scenarios!E52:I52,1/(1+$C10)^((DCF!$E$12:$I$12-ModelDate)/365))+(E29/($C10-E$8))/(1+$C10)^((DATE(2031,5,31)-ModelDate)/365)+CashAndShortTermInvestments-CarryingDebt-RedeemablePreferredStock)/DilutedProxyShares</f>
        <v>48.768268631617339</v>
      </c>
      <c r="F10" s="27">
        <f>(SUMPRODUCT(Scenarios!E52:I52,1/(1+$C10)^((DCF!$E$12:$I$12-ModelDate)/365))+(F29/($C10-F$8))/(1+$C10)^((DATE(2031,5,31)-ModelDate)/365)+CashAndShortTermInvestments-CarryingDebt-RedeemablePreferredStock)/DilutedProxyShares</f>
        <v>52.184760011251932</v>
      </c>
      <c r="G10" s="27">
        <f>(SUMPRODUCT(Scenarios!E52:I52,1/(1+$C10)^((DCF!$E$12:$I$12-ModelDate)/365))+(G29/($C10-G$8))/(1+$C10)^((DATE(2031,5,31)-ModelDate)/365)+CashAndShortTermInvestments-CarryingDebt-RedeemablePreferredStock)/DilutedProxyShares</f>
        <v>56.286269908943595</v>
      </c>
      <c r="H10" s="27">
        <f>(SUMPRODUCT(Scenarios!E52:I52,1/(1+$C10)^((DCF!$E$12:$I$12-ModelDate)/365))+(H29/($C10-H$8))/(1+$C10)^((DATE(2031,5,31)-ModelDate)/365)+CashAndShortTermInvestments-CarryingDebt-RedeemablePreferredStock)/DilutedProxyShares</f>
        <v>61.301776740150089</v>
      </c>
    </row>
    <row r="11" spans="2:9" x14ac:dyDescent="0.45">
      <c r="C11" s="23">
        <f>CalculatedWACC+Sources!$D$33</f>
        <v>8.4874438275402905E-2</v>
      </c>
      <c r="D11" s="27">
        <f>(SUMPRODUCT(Scenarios!E52:I52,1/(1+$C11)^((DCF!$E$12:$I$12-ModelDate)/365))+(D29/($C11-D$8))/(1+$C11)^((DATE(2031,5,31)-ModelDate)/365)+CashAndShortTermInvestments-CarryingDebt-RedeemablePreferredStock)/DilutedProxyShares</f>
        <v>42.558578644478295</v>
      </c>
      <c r="E11" s="27">
        <f>(SUMPRODUCT(Scenarios!E52:I52,1/(1+$C11)^((DCF!$E$12:$I$12-ModelDate)/365))+(E29/($C11-E$8))/(1+$C11)^((DATE(2031,5,31)-ModelDate)/365)+CashAndShortTermInvestments-CarryingDebt-RedeemablePreferredStock)/DilutedProxyShares</f>
        <v>44.98042563536837</v>
      </c>
      <c r="F11" s="27">
        <f>(SUMPRODUCT(Scenarios!E52:I52,1/(1+$C11)^((DCF!$E$12:$I$12-ModelDate)/365))+(F29/($C11-F$8))/(1+$C11)^((DATE(2031,5,31)-ModelDate)/365)+CashAndShortTermInvestments-CarryingDebt-RedeemablePreferredStock)/DilutedProxyShares</f>
        <v>47.80676026082299</v>
      </c>
      <c r="G11" s="27">
        <f>(SUMPRODUCT(Scenarios!E52:I52,1/(1+$C11)^((DCF!$E$12:$I$12-ModelDate)/365))+(G29/($C11-G$8))/(1+$C11)^((DATE(2031,5,31)-ModelDate)/365)+CashAndShortTermInvestments-CarryingDebt-RedeemablePreferredStock)/DilutedProxyShares</f>
        <v>51.148149748665404</v>
      </c>
      <c r="H11" s="27">
        <f>(SUMPRODUCT(Scenarios!E52:I52,1/(1+$C11)^((DCF!$E$12:$I$12-ModelDate)/365))+(H29/($C11-H$8))/(1+$C11)^((DATE(2031,5,31)-ModelDate)/365)+CashAndShortTermInvestments-CarryingDebt-RedeemablePreferredStock)/DilutedProxyShares</f>
        <v>55.159499561552842</v>
      </c>
    </row>
    <row r="12" spans="2:9" x14ac:dyDescent="0.45">
      <c r="C12" s="23">
        <f>CalculatedWACC+Sources!$D$34</f>
        <v>8.987443827540291E-2</v>
      </c>
      <c r="D12" s="27">
        <f>(SUMPRODUCT(Scenarios!E52:I52,1/(1+$C12)^((DCF!$E$12:$I$12-ModelDate)/365))+(D29/($C12-D$8))/(1+$C12)^((DATE(2031,5,31)-ModelDate)/365)+CashAndShortTermInvestments-CarryingDebt-RedeemablePreferredStock)/DilutedProxyShares</f>
        <v>39.684025060775916</v>
      </c>
      <c r="E12" s="27">
        <f>(SUMPRODUCT(Scenarios!E52:I52,1/(1+$C12)^((DCF!$E$12:$I$12-ModelDate)/365))+(E29/($C12-E$8))/(1+$C12)^((DATE(2031,5,31)-ModelDate)/365)+CashAndShortTermInvestments-CarryingDebt-RedeemablePreferredStock)/DilutedProxyShares</f>
        <v>41.736496789839428</v>
      </c>
      <c r="F12" s="27">
        <f>(SUMPRODUCT(Scenarios!E52:I52,1/(1+$C12)^((DCF!$E$12:$I$12-ModelDate)/365))+(F29/($C12-F$8))/(1+$C12)^((DATE(2031,5,31)-ModelDate)/365)+CashAndShortTermInvestments-CarryingDebt-RedeemablePreferredStock)/DilutedProxyShares</f>
        <v>44.105344549836786</v>
      </c>
      <c r="G12" s="27">
        <f>(SUMPRODUCT(Scenarios!E52:I52,1/(1+$C12)^((DCF!$E$12:$I$12-ModelDate)/365))+(G29/($C12-G$8))/(1+$C12)^((DATE(2031,5,31)-ModelDate)/365)+CashAndShortTermInvestments-CarryingDebt-RedeemablePreferredStock)/DilutedProxyShares</f>
        <v>46.86982821527701</v>
      </c>
      <c r="H12" s="27">
        <f>(SUMPRODUCT(Scenarios!E52:I52,1/(1+$C12)^((DCF!$E$12:$I$12-ModelDate)/365))+(H29/($C12-H$8))/(1+$C12)^((DATE(2031,5,31)-ModelDate)/365)+CashAndShortTermInvestments-CarryingDebt-RedeemablePreferredStock)/DilutedProxyShares</f>
        <v>50.138095382165773</v>
      </c>
    </row>
    <row r="13" spans="2:9" x14ac:dyDescent="0.45">
      <c r="C13" s="23">
        <f>CalculatedWACC+Sources!$D$35</f>
        <v>9.48744382754029E-2</v>
      </c>
      <c r="D13" s="27">
        <f>(SUMPRODUCT(Scenarios!E52:I52,1/(1+$C13)^((DCF!$E$12:$I$12-ModelDate)/365))+(D29/($C13-D$8))/(1+$C13)^((DATE(2031,5,31)-ModelDate)/365)+CashAndShortTermInvestments-CarryingDebt-RedeemablePreferredStock)/DilutedProxyShares</f>
        <v>37.171086505756925</v>
      </c>
      <c r="E13" s="27">
        <f>(SUMPRODUCT(Scenarios!E52:I52,1/(1+$C13)^((DCF!$E$12:$I$12-ModelDate)/365))+(E29/($C13-E$8))/(1+$C13)^((DATE(2031,5,31)-ModelDate)/365)+CashAndShortTermInvestments-CarryingDebt-RedeemablePreferredStock)/DilutedProxyShares</f>
        <v>38.927478389528268</v>
      </c>
      <c r="F13" s="27">
        <f>(SUMPRODUCT(Scenarios!E52:I52,1/(1+$C13)^((DCF!$E$12:$I$12-ModelDate)/365))+(F29/($C13-F$8))/(1+$C13)^((DATE(2031,5,31)-ModelDate)/365)+CashAndShortTermInvestments-CarryingDebt-RedeemablePreferredStock)/DilutedProxyShares</f>
        <v>40.935234280956969</v>
      </c>
      <c r="G13" s="27">
        <f>(SUMPRODUCT(Scenarios!E52:I52,1/(1+$C13)^((DCF!$E$12:$I$12-ModelDate)/365))+(G29/($C13-G$8))/(1+$C13)^((DATE(2031,5,31)-ModelDate)/365)+CashAndShortTermInvestments-CarryingDebt-RedeemablePreferredStock)/DilutedProxyShares</f>
        <v>43.252473528974477</v>
      </c>
      <c r="H13" s="27">
        <f>(SUMPRODUCT(Scenarios!E52:I52,1/(1+$C13)^((DCF!$E$12:$I$12-ModelDate)/365))+(H29/($C13-H$8))/(1+$C13)^((DATE(2031,5,31)-ModelDate)/365)+CashAndShortTermInvestments-CarryingDebt-RedeemablePreferredStock)/DilutedProxyShares</f>
        <v>45.956729225874426</v>
      </c>
    </row>
    <row r="17" spans="2:8" x14ac:dyDescent="0.45">
      <c r="B17" s="7" t="s">
        <v>603</v>
      </c>
      <c r="C17" s="7"/>
      <c r="D17" s="7"/>
      <c r="E17" s="7"/>
      <c r="F17" s="7"/>
      <c r="G17" s="7"/>
      <c r="H17" s="7"/>
    </row>
    <row r="18" spans="2:8" x14ac:dyDescent="0.45">
      <c r="B18" s="5" t="s">
        <v>604</v>
      </c>
      <c r="D18" s="23">
        <f>D$8</f>
        <v>1.4999999999999999E-2</v>
      </c>
      <c r="E18" s="23">
        <f>E$8</f>
        <v>0.02</v>
      </c>
      <c r="F18" s="23">
        <f>F$8</f>
        <v>2.5000000000000001E-2</v>
      </c>
      <c r="G18" s="23">
        <f>G$8</f>
        <v>0.03</v>
      </c>
      <c r="H18" s="23">
        <f>H$8</f>
        <v>3.5000000000000003E-2</v>
      </c>
    </row>
    <row r="19" spans="2:8" x14ac:dyDescent="0.45">
      <c r="B19" s="5" t="s">
        <v>583</v>
      </c>
      <c r="D19" s="10">
        <f>Scenarios!I35*(1+D18)</f>
        <v>52191.822704125101</v>
      </c>
      <c r="E19" s="10">
        <f>Scenarios!I35*(1+E18)</f>
        <v>52448.925279022274</v>
      </c>
      <c r="F19" s="10">
        <f>Scenarios!I35*(1+F18)</f>
        <v>52706.027853919441</v>
      </c>
      <c r="G19" s="10">
        <f>Scenarios!I35*(1+G18)</f>
        <v>52963.130428816614</v>
      </c>
      <c r="H19" s="10">
        <f>Scenarios!I35*(1+H18)</f>
        <v>53220.233003713773</v>
      </c>
    </row>
    <row r="20" spans="2:8" x14ac:dyDescent="0.45">
      <c r="B20" s="5" t="s">
        <v>584</v>
      </c>
      <c r="D20" s="10">
        <f>D19*Scenarios!I36</f>
        <v>23381.936571448045</v>
      </c>
      <c r="E20" s="10">
        <f>E19*Scenarios!I36</f>
        <v>23497.118525001981</v>
      </c>
      <c r="F20" s="10">
        <f>F19*Scenarios!I36</f>
        <v>23612.30047855591</v>
      </c>
      <c r="G20" s="10">
        <f>G19*Scenarios!I36</f>
        <v>23727.482432109842</v>
      </c>
      <c r="H20" s="10">
        <f>H19*Scenarios!I36</f>
        <v>23842.664385663771</v>
      </c>
    </row>
    <row r="21" spans="2:8" x14ac:dyDescent="0.45">
      <c r="B21" s="5" t="s">
        <v>585</v>
      </c>
      <c r="D21" s="10">
        <f>D19*Scenarios!I38</f>
        <v>17118.917846953034</v>
      </c>
      <c r="E21" s="10">
        <f>E19*Scenarios!I38</f>
        <v>17203.247491519305</v>
      </c>
      <c r="F21" s="10">
        <f>F19*Scenarios!I38</f>
        <v>17287.577136085576</v>
      </c>
      <c r="G21" s="10">
        <f>G19*Scenarios!I38</f>
        <v>17371.906780651851</v>
      </c>
      <c r="H21" s="10">
        <f>H19*Scenarios!I38</f>
        <v>17456.236425218118</v>
      </c>
    </row>
    <row r="22" spans="2:8" x14ac:dyDescent="0.45">
      <c r="B22" s="5" t="s">
        <v>586</v>
      </c>
      <c r="D22" s="10">
        <f>D20-D21</f>
        <v>6263.0187244950102</v>
      </c>
      <c r="E22" s="10">
        <f>E20-E21</f>
        <v>6293.8710334826756</v>
      </c>
      <c r="F22" s="10">
        <f>F20-F21</f>
        <v>6324.7233424703336</v>
      </c>
      <c r="G22" s="10">
        <f>G20-G21</f>
        <v>6355.5756514579916</v>
      </c>
      <c r="H22" s="10">
        <f>H20-H21</f>
        <v>6386.4279604456533</v>
      </c>
    </row>
    <row r="23" spans="2:8" x14ac:dyDescent="0.45">
      <c r="B23" s="5" t="s">
        <v>605</v>
      </c>
      <c r="D23" s="10">
        <f>MAX(D22,0)*Scenarios!I42</f>
        <v>1315.2339321439522</v>
      </c>
      <c r="E23" s="10">
        <f>MAX(E22,0)*Scenarios!I42</f>
        <v>1321.7129170313617</v>
      </c>
      <c r="F23" s="10">
        <f>MAX(F22,0)*Scenarios!I42</f>
        <v>1328.1919019187701</v>
      </c>
      <c r="G23" s="10">
        <f>MAX(G22,0)*Scenarios!I42</f>
        <v>1334.6708868061783</v>
      </c>
      <c r="H23" s="10">
        <f>MAX(H22,0)*Scenarios!I42</f>
        <v>1341.1498716935871</v>
      </c>
    </row>
    <row r="24" spans="2:8" x14ac:dyDescent="0.45">
      <c r="B24" s="5" t="s">
        <v>588</v>
      </c>
      <c r="D24" s="10">
        <f>D22-D23</f>
        <v>4947.7847923510581</v>
      </c>
      <c r="E24" s="10">
        <f>E22-E23</f>
        <v>4972.1581164513136</v>
      </c>
      <c r="F24" s="10">
        <f>F22-F23</f>
        <v>4996.5314405515637</v>
      </c>
      <c r="G24" s="10">
        <f>G22-G23</f>
        <v>5020.9047646518138</v>
      </c>
      <c r="H24" s="10">
        <f>H22-H23</f>
        <v>5045.2780887520657</v>
      </c>
    </row>
    <row r="25" spans="2:8" x14ac:dyDescent="0.45">
      <c r="B25" s="5" t="s">
        <v>589</v>
      </c>
      <c r="D25" s="10">
        <f>D19*Scenarios!I45</f>
        <v>835.06916326600162</v>
      </c>
      <c r="E25" s="10">
        <f>E19*Scenarios!I45</f>
        <v>839.18280446435642</v>
      </c>
      <c r="F25" s="10">
        <f>F19*Scenarios!I45</f>
        <v>843.29644566271111</v>
      </c>
      <c r="G25" s="10">
        <f>G19*Scenarios!I45</f>
        <v>847.41008686106579</v>
      </c>
      <c r="H25" s="10">
        <f>H19*Scenarios!I45</f>
        <v>851.52372805942036</v>
      </c>
    </row>
    <row r="26" spans="2:8" x14ac:dyDescent="0.45">
      <c r="B26" s="5" t="s">
        <v>590</v>
      </c>
      <c r="D26" s="10">
        <f>D19*Scenarios!I47</f>
        <v>887.26098597012674</v>
      </c>
      <c r="E26" s="10">
        <f>E19*Scenarios!I47</f>
        <v>891.63172974337874</v>
      </c>
      <c r="F26" s="10">
        <f>F19*Scenarios!I47</f>
        <v>896.00247351663052</v>
      </c>
      <c r="G26" s="10">
        <f>G19*Scenarios!I47</f>
        <v>900.37321728988252</v>
      </c>
      <c r="H26" s="10">
        <f>H19*Scenarios!I47</f>
        <v>904.74396106313418</v>
      </c>
    </row>
    <row r="27" spans="2:8" x14ac:dyDescent="0.45">
      <c r="B27" s="5" t="s">
        <v>591</v>
      </c>
      <c r="D27" s="10">
        <f>D19*Scenarios!I49</f>
        <v>5219.1822704125107</v>
      </c>
      <c r="E27" s="10">
        <f>E19*Scenarios!I49</f>
        <v>5244.8925279022278</v>
      </c>
      <c r="F27" s="10">
        <f>F19*Scenarios!I49</f>
        <v>5270.6027853919441</v>
      </c>
      <c r="G27" s="10">
        <f>G19*Scenarios!I49</f>
        <v>5296.3130428816621</v>
      </c>
      <c r="H27" s="10">
        <f>H19*Scenarios!I49</f>
        <v>5322.0233003713774</v>
      </c>
    </row>
    <row r="28" spans="2:8" x14ac:dyDescent="0.45">
      <c r="B28" s="5" t="s">
        <v>592</v>
      </c>
      <c r="D28" s="10">
        <f>D27-Scenarios!I50</f>
        <v>77.130772469149633</v>
      </c>
      <c r="E28" s="10">
        <f>E27-Scenarios!I50</f>
        <v>102.84102995886678</v>
      </c>
      <c r="F28" s="10">
        <f>F27-Scenarios!I50</f>
        <v>128.55128744858303</v>
      </c>
      <c r="G28" s="10">
        <f>G27-Scenarios!I50</f>
        <v>154.26154493830109</v>
      </c>
      <c r="H28" s="10">
        <f>H27-Scenarios!I50</f>
        <v>179.97180242801642</v>
      </c>
    </row>
    <row r="29" spans="2:8" x14ac:dyDescent="0.45">
      <c r="B29" s="5" t="s">
        <v>593</v>
      </c>
      <c r="D29" s="10">
        <f>D24+D25-D26-D28</f>
        <v>4818.4621971777833</v>
      </c>
      <c r="E29" s="10">
        <f>E24+E25-E26-E28</f>
        <v>4816.8681612134242</v>
      </c>
      <c r="F29" s="10">
        <f>F24+F25-F26-F28</f>
        <v>4815.2741252490614</v>
      </c>
      <c r="G29" s="10">
        <f>G24+G25-G26-G28</f>
        <v>4813.6800892846959</v>
      </c>
      <c r="H29" s="10">
        <f>H24+H25-H26-H28</f>
        <v>4812.0860533203349</v>
      </c>
    </row>
    <row r="30" spans="2:8" x14ac:dyDescent="0.45">
      <c r="B30" s="5" t="s">
        <v>594</v>
      </c>
      <c r="D30" s="10">
        <f>D22+D25</f>
        <v>7098.0878877610121</v>
      </c>
      <c r="E30" s="10">
        <f>E22+E25</f>
        <v>7133.0538379470318</v>
      </c>
      <c r="F30" s="10">
        <f>F22+F25</f>
        <v>7168.019788133045</v>
      </c>
      <c r="G30" s="10">
        <f>G22+G25</f>
        <v>7202.9857383190574</v>
      </c>
      <c r="H30" s="10">
        <f>H22+H25</f>
        <v>7237.9516885050734</v>
      </c>
    </row>
  </sheetData>
  <conditionalFormatting sqref="D9:H13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ignoredErrors>
    <ignoredError sqref="D19:H30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202"/>
  <sheetViews>
    <sheetView showGridLines="0" zoomScale="80" zoomScaleNormal="8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4.25" x14ac:dyDescent="0.45"/>
  <cols>
    <col min="1" max="1" width="48.73046875" customWidth="1"/>
    <col min="2" max="2" width="28.73046875" customWidth="1"/>
    <col min="3" max="3" width="32.73046875" customWidth="1"/>
    <col min="4" max="6" width="18.73046875" customWidth="1"/>
    <col min="7" max="7" width="26.73046875" customWidth="1"/>
    <col min="8" max="8" width="58.73046875" customWidth="1"/>
    <col min="9" max="9" width="56.73046875" customWidth="1"/>
  </cols>
  <sheetData>
    <row r="2" spans="1:10" ht="23" customHeight="1" x14ac:dyDescent="0.5">
      <c r="B2" s="1" t="s">
        <v>606</v>
      </c>
      <c r="C2" s="1"/>
      <c r="D2" s="1"/>
      <c r="E2" s="1"/>
      <c r="F2" s="1"/>
      <c r="G2" s="1"/>
      <c r="H2" s="1"/>
      <c r="I2" s="1"/>
      <c r="J2" s="1"/>
    </row>
    <row r="3" spans="1:10" x14ac:dyDescent="0.45">
      <c r="B3" s="2" t="s">
        <v>607</v>
      </c>
    </row>
    <row r="5" spans="1:10" x14ac:dyDescent="0.45">
      <c r="A5" s="3" t="s">
        <v>608</v>
      </c>
      <c r="C5" s="3" t="s">
        <v>609</v>
      </c>
      <c r="E5" s="3" t="s">
        <v>610</v>
      </c>
      <c r="G5" s="3" t="s">
        <v>611</v>
      </c>
      <c r="H5" s="3" t="s">
        <v>612</v>
      </c>
    </row>
    <row r="6" spans="1:10" x14ac:dyDescent="0.45">
      <c r="A6" s="29" t="str">
        <f>IF(COUNTIF(B9:B202,"Mechanical integrity")=0,"UNVERIFIED",IF(COUNTIFS(B9:B202,"Mechanical integrity",H9:H202,"FAIL")&gt;0,"FAIL",IF(COUNTIFS(B9:B202,"Mechanical integrity",H9:H202,"&lt;&gt;PASS")&gt;0,"UNVERIFIED","PASS")))</f>
        <v>PASS</v>
      </c>
      <c r="C6" s="29" t="str">
        <f>IF(COUNTIF(B9:B202,"Approved snapshot")=0,"UNVERIFIED",IF(COUNTIFS(B9:B202,"Approved snapshot",H9:H202,"DIFFERS FROM APPROVED")&gt;0,"DIFFERS FROM APPROVED",IF(COUNTIFS(B9:B202,"Approved snapshot",H9:H202,"&lt;&gt;MATCHES APPROVED")&gt;0,"UNVERIFIED","MATCHES APPROVED")))</f>
        <v>MATCHES APPROVED</v>
      </c>
      <c r="E6" s="30" t="str">
        <f>IF(COUNTIF(B9:B202,"*warning")=0,"UNVERIFIED",IF(COUNTIFS(B9:B202,"*warning",H9:H202,"*WARNING*")&gt;0,"WARNINGS PRESENT",IF(COUNTIFS(B9:B202,"*warning",H9:H202,"&lt;&gt;PASS")&gt;0,"UNVERIFIED","PASS")))</f>
        <v>WARNINGS PRESENT</v>
      </c>
      <c r="G6" s="29" t="str">
        <f>IF(COUNTIF(B9:B202,"Package/build control")=0,"UNVERIFIED",IF(COUNTIFS(B9:B202,"Package/build control",H9:H202,"FAIL")&gt;0,"FAIL",IF(COUNTIFS(B9:B202,"Package/build control",H9:H202,"&lt;&gt;PASS")&gt;0,"UNVERIFIED","PASS")))</f>
        <v>PASS</v>
      </c>
      <c r="H6" s="30" t="str">
        <f>IF(OR(A6="FAIL",G6="FAIL"),"FAIL",IF(OR(A6&lt;&gt;"PASS",G6&lt;&gt;"PASS"),"UNVERIFIED",IF(C6="DIFFERS FROM APPROVED","NOT PUBLISHABLE — DIFFERS FROM APPROVED",IF(C6&lt;&gt;"MATCHES APPROVED","UNVERIFIED",IF(E6="WARNINGS PRESENT","PASS WITH WARNINGS",IF(E6="PASS","PASS","UNVERIFIED"))))))</f>
        <v>PASS WITH WARNINGS</v>
      </c>
    </row>
    <row r="8" spans="1:10" x14ac:dyDescent="0.45">
      <c r="A8" s="8" t="s">
        <v>613</v>
      </c>
      <c r="B8" s="8" t="s">
        <v>614</v>
      </c>
      <c r="C8" s="8" t="s">
        <v>615</v>
      </c>
      <c r="D8" s="8" t="s">
        <v>616</v>
      </c>
      <c r="E8" s="8" t="s">
        <v>617</v>
      </c>
      <c r="F8" s="8" t="s">
        <v>618</v>
      </c>
      <c r="G8" s="8" t="s">
        <v>619</v>
      </c>
      <c r="H8" s="8" t="s">
        <v>620</v>
      </c>
      <c r="I8" s="8" t="s">
        <v>621</v>
      </c>
    </row>
    <row r="9" spans="1:10" ht="25.5" x14ac:dyDescent="0.45">
      <c r="A9" s="5" t="s">
        <v>622</v>
      </c>
      <c r="B9" s="5" t="s">
        <v>623</v>
      </c>
      <c r="C9" s="5" t="s">
        <v>624</v>
      </c>
      <c r="D9" s="16">
        <f>1+1</f>
        <v>2</v>
      </c>
      <c r="E9" s="5">
        <v>2</v>
      </c>
      <c r="F9" s="16">
        <f t="shared" ref="F9:F40" si="0">D9-E9</f>
        <v>0</v>
      </c>
      <c r="G9" s="5">
        <v>0</v>
      </c>
      <c r="H9" s="16" t="str">
        <f t="shared" ref="H9:H17" si="1">IF(AND(ISNUMBER(D9),ISNUMBER(E9),ISNUMBER(F9),ISNUMBER(G9)),IF(ABS(F9)&lt;=G9,"PASS","FAIL"),"UNVERIFIED")</f>
        <v>PASS</v>
      </c>
      <c r="I9" s="18" t="s">
        <v>625</v>
      </c>
    </row>
    <row r="10" spans="1:10" x14ac:dyDescent="0.45">
      <c r="A10" s="5" t="s">
        <v>626</v>
      </c>
      <c r="B10" s="5" t="s">
        <v>623</v>
      </c>
      <c r="C10" s="5" t="s">
        <v>627</v>
      </c>
      <c r="D10" s="16">
        <f>COUNTA(Sources!A7:A40)</f>
        <v>34</v>
      </c>
      <c r="E10" s="5">
        <v>34</v>
      </c>
      <c r="F10" s="16">
        <f t="shared" si="0"/>
        <v>0</v>
      </c>
      <c r="G10" s="5">
        <v>0</v>
      </c>
      <c r="H10" s="16" t="str">
        <f t="shared" si="1"/>
        <v>PASS</v>
      </c>
      <c r="I10" s="18" t="s">
        <v>628</v>
      </c>
    </row>
    <row r="11" spans="1:10" x14ac:dyDescent="0.45">
      <c r="A11" s="5" t="s">
        <v>629</v>
      </c>
      <c r="B11" s="5" t="s">
        <v>623</v>
      </c>
      <c r="C11" s="5" t="s">
        <v>627</v>
      </c>
      <c r="D11" s="16">
        <f>COUNTIF(Sources!I7:I40,"approved")</f>
        <v>34</v>
      </c>
      <c r="E11" s="5">
        <v>34</v>
      </c>
      <c r="F11" s="16">
        <f t="shared" si="0"/>
        <v>0</v>
      </c>
      <c r="G11" s="5">
        <v>0</v>
      </c>
      <c r="H11" s="16" t="str">
        <f t="shared" si="1"/>
        <v>PASS</v>
      </c>
      <c r="I11" s="18" t="s">
        <v>630</v>
      </c>
    </row>
    <row r="12" spans="1:10" x14ac:dyDescent="0.45">
      <c r="A12" s="5" t="s">
        <v>631</v>
      </c>
      <c r="B12" s="5" t="s">
        <v>623</v>
      </c>
      <c r="C12" s="5" t="s">
        <v>632</v>
      </c>
      <c r="D12" s="16">
        <f>COUNTA(Sources!A45:A55)</f>
        <v>11</v>
      </c>
      <c r="E12" s="5">
        <v>11</v>
      </c>
      <c r="F12" s="16">
        <f t="shared" si="0"/>
        <v>0</v>
      </c>
      <c r="G12" s="5">
        <v>0</v>
      </c>
      <c r="H12" s="16" t="str">
        <f t="shared" si="1"/>
        <v>PASS</v>
      </c>
      <c r="I12" s="18" t="s">
        <v>633</v>
      </c>
    </row>
    <row r="13" spans="1:10" x14ac:dyDescent="0.45">
      <c r="A13" s="5" t="s">
        <v>634</v>
      </c>
      <c r="B13" s="5" t="s">
        <v>623</v>
      </c>
      <c r="C13" s="5" t="s">
        <v>627</v>
      </c>
      <c r="D13" s="16">
        <f>COUNTA(Sources!A60:A164)</f>
        <v>105</v>
      </c>
      <c r="E13" s="5">
        <v>105</v>
      </c>
      <c r="F13" s="16">
        <f t="shared" si="0"/>
        <v>0</v>
      </c>
      <c r="G13" s="5">
        <v>0</v>
      </c>
      <c r="H13" s="16" t="str">
        <f t="shared" si="1"/>
        <v>PASS</v>
      </c>
      <c r="I13" s="18" t="s">
        <v>635</v>
      </c>
    </row>
    <row r="14" spans="1:10" x14ac:dyDescent="0.45">
      <c r="A14" s="5" t="s">
        <v>636</v>
      </c>
      <c r="B14" s="5" t="s">
        <v>623</v>
      </c>
      <c r="C14" s="5" t="s">
        <v>627</v>
      </c>
      <c r="D14" s="16">
        <f>COUNTIF(Sources!J60:J164,"approved")</f>
        <v>105</v>
      </c>
      <c r="E14" s="5">
        <v>105</v>
      </c>
      <c r="F14" s="16">
        <f t="shared" si="0"/>
        <v>0</v>
      </c>
      <c r="G14" s="5">
        <v>0</v>
      </c>
      <c r="H14" s="16" t="str">
        <f t="shared" si="1"/>
        <v>PASS</v>
      </c>
      <c r="I14" s="18" t="s">
        <v>637</v>
      </c>
    </row>
    <row r="15" spans="1:10" x14ac:dyDescent="0.45">
      <c r="A15" s="5" t="s">
        <v>638</v>
      </c>
      <c r="B15" s="5" t="s">
        <v>623</v>
      </c>
      <c r="C15" s="5" t="s">
        <v>639</v>
      </c>
      <c r="D15" s="16">
        <f>SUMPRODUCT(--(LEN(Sources!A45:A55)=4),--(LEFT(Sources!A45:A55,2)="VS"),--ISNUMBER(FIND(MID(Sources!A45:A55,3,1),"0123456789")),--ISNUMBER(FIND(RIGHT(Sources!A45:A55,1),"0123456789")))</f>
        <v>11</v>
      </c>
      <c r="E15" s="5">
        <v>11</v>
      </c>
      <c r="F15" s="16">
        <f t="shared" si="0"/>
        <v>0</v>
      </c>
      <c r="G15" s="5">
        <v>0</v>
      </c>
      <c r="H15" s="16" t="str">
        <f t="shared" si="1"/>
        <v>PASS</v>
      </c>
      <c r="I15" s="18" t="s">
        <v>640</v>
      </c>
    </row>
    <row r="16" spans="1:10" ht="25.5" x14ac:dyDescent="0.45">
      <c r="A16" s="5" t="s">
        <v>641</v>
      </c>
      <c r="B16" s="5" t="s">
        <v>623</v>
      </c>
      <c r="C16" s="5" t="s">
        <v>642</v>
      </c>
      <c r="D16" s="16">
        <f>SUMPRODUCT(--(LEN(TRIM(Sources!G7:G40))&gt;0),--(LEFT(SUBSTITUTE(SUBSTITUTE(TRIM(Sources!G7:G40)," ;",";"),"; ",";"),1)&lt;&gt;";"),--(RIGHT(SUBSTITUTE(SUBSTITUTE(TRIM(Sources!G7:G40)," ;",";"),"; ",";"),1)&lt;&gt;";"),--ISERROR(SEARCH(";;",SUBSTITUTE(SUBSTITUTE(TRIM(Sources!G7:G40)," ;",";"),"; ",";"))),--(SUBSTITUTE(SUBSTITUTE(SUBSTITUTE(SUBSTITUTE(SUBSTITUTE(SUBSTITUTE(SUBSTITUTE(SUBSTITUTE(SUBSTITUTE(SUBSTITUTE(SUBSTITUTE(";"&amp;SUBSTITUTE(SUBSTITUTE(SUBSTITUTE(TRIM(Sources!G7:G40)," ;",";"),"; ",";"),";",";;")&amp;";",";"&amp;Sources!$A$45&amp;";",""),";"&amp;Sources!$A$46&amp;";",""),";"&amp;Sources!$A$47&amp;";",""),";"&amp;Sources!$A$48&amp;";",""),";"&amp;Sources!$A$49&amp;";",""),";"&amp;Sources!$A$50&amp;";",""),";"&amp;Sources!$A$51&amp;";",""),";"&amp;Sources!$A$52&amp;";",""),";"&amp;Sources!$A$53&amp;";",""),";"&amp;Sources!$A$54&amp;";",""),";"&amp;Sources!$A$55&amp;";","")=""))</f>
        <v>34</v>
      </c>
      <c r="E16" s="5">
        <v>34</v>
      </c>
      <c r="F16" s="16">
        <f t="shared" si="0"/>
        <v>0</v>
      </c>
      <c r="G16" s="5">
        <v>0</v>
      </c>
      <c r="H16" s="16" t="str">
        <f t="shared" si="1"/>
        <v>PASS</v>
      </c>
      <c r="I16" s="18" t="s">
        <v>643</v>
      </c>
    </row>
    <row r="17" spans="1:9" ht="25.5" x14ac:dyDescent="0.45">
      <c r="A17" s="5" t="s">
        <v>644</v>
      </c>
      <c r="B17" s="5" t="s">
        <v>623</v>
      </c>
      <c r="C17" s="5" t="s">
        <v>645</v>
      </c>
      <c r="D17" s="16">
        <f>SUMPRODUCT(--ISNUMBER(MATCH(Sources!H60:H164,{"FS01","FS02","FS03","FS04","FS05","FS06"},0)))</f>
        <v>105</v>
      </c>
      <c r="E17" s="5">
        <v>105</v>
      </c>
      <c r="F17" s="16">
        <f t="shared" si="0"/>
        <v>0</v>
      </c>
      <c r="G17" s="5">
        <v>0</v>
      </c>
      <c r="H17" s="16" t="str">
        <f t="shared" si="1"/>
        <v>PASS</v>
      </c>
      <c r="I17" s="18" t="s">
        <v>646</v>
      </c>
    </row>
    <row r="18" spans="1:9" ht="25.5" x14ac:dyDescent="0.45">
      <c r="A18" s="5" t="s">
        <v>647</v>
      </c>
      <c r="B18" s="5" t="s">
        <v>609</v>
      </c>
      <c r="C18" s="5" t="s">
        <v>648</v>
      </c>
      <c r="D18" s="16">
        <f>--AND(Sources!D7=DATE(2026,9,4),Sources!D8=DATE(2026,9,4),Sources!D9=38.4,Sources!D10=281.387752,Sources!D11=1202.110951,Sources!D12=1.2,Sources!D13=7563,Sources!D14=1464,Sources!D15=6800,Sources!D16=7942,Sources!D17=0.3,Sources!D18=3091,Sources!D19=0.0478,Sources!D20=0.0414,Sources!D21=0.0078,Sources!D22=0.21,Sources!D23=30538,Sources!D24=13497,Sources!D25=2220,Sources!D26=143,Sources!D27=1,Sources!D28=0.79,Sources!D29=0.74,Sources!D30=0.025,Sources!D31=-0.01,Sources!D32=-0.005,Sources!D33=0,Sources!D34=0.005,Sources!D35=0.01,Sources!D36=0.015,Sources!D37=0.02,Sources!D38=0.025,Sources!D39=0.03,Sources!D40=0.035)</f>
        <v>1</v>
      </c>
      <c r="E18" s="5">
        <v>1</v>
      </c>
      <c r="F18" s="16">
        <f t="shared" si="0"/>
        <v>0</v>
      </c>
      <c r="G18" s="5">
        <v>0</v>
      </c>
      <c r="H18" s="16" t="str">
        <f>IF(AND(ISNUMBER(D18),ISNUMBER(E18),ISNUMBER(F18),ISNUMBER(G18)),IF(ABS(F18)&lt;=G18,"MATCHES APPROVED","DIFFERS FROM APPROVED"),"UNVERIFIED")</f>
        <v>MATCHES APPROVED</v>
      </c>
      <c r="I18" s="18" t="s">
        <v>649</v>
      </c>
    </row>
    <row r="19" spans="1:9" ht="25.5" x14ac:dyDescent="0.45">
      <c r="A19" s="5" t="s">
        <v>650</v>
      </c>
      <c r="B19" s="5" t="s">
        <v>609</v>
      </c>
      <c r="C19" s="5" t="s">
        <v>651</v>
      </c>
      <c r="D19" s="16">
        <f>--AND(Sources!D60=-0.02,Sources!D61=0.425,Sources!D62=0.352,Sources!D63=0.21,Sources!D64=0.016,Sources!D65=0.015,Sources!D66=0.111,Sources!D67=0.02,Sources!D68=0.432,Sources!D69=0.345,Sources!D70=0.21,Sources!D71=0.016,Sources!D72=0.016,Sources!D73=0.108,Sources!D74=0.035,Sources!D75=0.44,Sources!D76=0.338,Sources!D77=0.21,Sources!D78=0.016,Sources!D79=0.017,Sources!D80=0.105,Sources!D81=0.04,Sources!D82=0.445,Sources!D83=0.332,Sources!D84=0.21,Sources!D85=0.016,Sources!D86=0.017,Sources!D87=0.102,Sources!D88=0.03,Sources!D89=0.448,Sources!D90=0.328,Sources!D91=0.21,Sources!D92=0.016,Sources!D93=0.017,Sources!D94=0.1,Sources!D95=0.005,Sources!D96=0.43,Sources!D97=0.348,Sources!D98=0.21,Sources!D99=0.016,Sources!D100=0.017,Sources!D101=0.108,Sources!D102=0.04,Sources!D103=0.44,Sources!D104=0.34,Sources!D105=0.21,Sources!D106=0.016,Sources!D107=0.018,Sources!D108=0.104,Sources!D109=0.05,Sources!D110=0.45,Sources!D111=0.33,Sources!D112=0.21,Sources!D113=0.016,Sources!D114=0.019,Sources!D115=0.1,Sources!D116=0.05,Sources!D117=0.455,Sources!D118=0.322,Sources!D119=0.21,Sources!D120=0.017,Sources!D121=0.019,Sources!D122=0.097,Sources!D123=0.035,Sources!D124=0.458,Sources!D125=0.318,Sources!D126=0.21,Sources!D127=0.017,Sources!D128=0.018,Sources!D129=0.095,Sources!D130=-0.04,Sources!D131=0.415,Sources!D132=0.355,Sources!D133=0.21,Sources!D134=0.016,Sources!D135=0.013,Sources!D136=0.117,Sources!D137=-0.01,Sources!D138=0.415,Sources!D139=0.357,Sources!D140=0.21,Sources!D141=0.016,Sources!D142=0.013,Sources!D143=0.118,Sources!D144=0.01,Sources!D145=0.42,Sources!D146=0.354,Sources!D147=0.21,Sources!D148=0.016,Sources!D149=0.014,Sources!D150=0.118,Sources!D151=0.02,Sources!D152=0.425,Sources!D153=0.35,Sources!D154=0.21,Sources!D155=0.015,Sources!D156=0.015,Sources!D157=0.117,Sources!D158=0.02,Sources!D159=0.428,Sources!D160=0.346,Sources!D161=0.21,Sources!D162=0.015,Sources!D163=0.015,Sources!D164=0.115)</f>
        <v>1</v>
      </c>
      <c r="E19" s="5">
        <v>1</v>
      </c>
      <c r="F19" s="16">
        <f t="shared" si="0"/>
        <v>0</v>
      </c>
      <c r="G19" s="5">
        <v>0</v>
      </c>
      <c r="H19" s="16" t="str">
        <f>IF(AND(ISNUMBER(D19),ISNUMBER(E19),ISNUMBER(F19),ISNUMBER(G19)),IF(ABS(F19)&lt;=G19,"MATCHES APPROVED","DIFFERS FROM APPROVED"),"UNVERIFIED")</f>
        <v>MATCHES APPROVED</v>
      </c>
      <c r="I19" s="18" t="s">
        <v>652</v>
      </c>
    </row>
    <row r="20" spans="1:9" x14ac:dyDescent="0.45">
      <c r="A20" s="5" t="s">
        <v>653</v>
      </c>
      <c r="B20" s="5" t="s">
        <v>608</v>
      </c>
      <c r="C20" s="5" t="s">
        <v>654</v>
      </c>
      <c r="D20" s="16">
        <f>WACC!E34+WACC!E35</f>
        <v>1</v>
      </c>
      <c r="E20" s="5">
        <v>1</v>
      </c>
      <c r="F20" s="16">
        <f t="shared" si="0"/>
        <v>0</v>
      </c>
      <c r="G20" s="5">
        <v>9.9999999999999998E-13</v>
      </c>
      <c r="H20" s="16" t="str">
        <f>IF(AND(ISNUMBER(D20),ISNUMBER(E20),ISNUMBER(F20),ISNUMBER(G20)),IF(ABS(F20)&lt;=G20,"PASS","FAIL"),"UNVERIFIED")</f>
        <v>PASS</v>
      </c>
      <c r="I20" s="18" t="s">
        <v>655</v>
      </c>
    </row>
    <row r="21" spans="1:9" x14ac:dyDescent="0.45">
      <c r="A21" s="5" t="s">
        <v>656</v>
      </c>
      <c r="B21" s="5" t="s">
        <v>609</v>
      </c>
      <c r="C21" s="5" t="s">
        <v>654</v>
      </c>
      <c r="D21" s="16">
        <f>WACC!E23</f>
        <v>0.92624429791373919</v>
      </c>
      <c r="E21" s="5">
        <v>0.92624429791373908</v>
      </c>
      <c r="F21" s="16">
        <f t="shared" si="0"/>
        <v>0</v>
      </c>
      <c r="G21" s="5">
        <v>1.0000000000000001E-9</v>
      </c>
      <c r="H21" s="16" t="str">
        <f t="shared" ref="H21:H27" si="2">IF(AND(ISNUMBER(D21),ISNUMBER(E21),ISNUMBER(F21),ISNUMBER(G21)),IF(ABS(F21)&lt;=G21,"MATCHES APPROVED","DIFFERS FROM APPROVED"),"UNVERIFIED")</f>
        <v>MATCHES APPROVED</v>
      </c>
      <c r="I21" s="18" t="s">
        <v>657</v>
      </c>
    </row>
    <row r="22" spans="1:9" x14ac:dyDescent="0.45">
      <c r="A22" s="5" t="s">
        <v>658</v>
      </c>
      <c r="B22" s="5" t="s">
        <v>609</v>
      </c>
      <c r="C22" s="5" t="s">
        <v>654</v>
      </c>
      <c r="D22" s="16">
        <f>WACC!E27</f>
        <v>1.0135903250217189</v>
      </c>
      <c r="E22" s="5">
        <v>1.0135903250217191</v>
      </c>
      <c r="F22" s="16">
        <f t="shared" si="0"/>
        <v>0</v>
      </c>
      <c r="G22" s="5">
        <v>1.0000000000000001E-9</v>
      </c>
      <c r="H22" s="16" t="str">
        <f t="shared" si="2"/>
        <v>MATCHES APPROVED</v>
      </c>
      <c r="I22" s="18" t="s">
        <v>659</v>
      </c>
    </row>
    <row r="23" spans="1:9" x14ac:dyDescent="0.45">
      <c r="A23" s="5" t="s">
        <v>660</v>
      </c>
      <c r="B23" s="5" t="s">
        <v>609</v>
      </c>
      <c r="C23" s="5" t="s">
        <v>654</v>
      </c>
      <c r="D23" s="16">
        <f>WACC!E30</f>
        <v>8.9762639455899157E-2</v>
      </c>
      <c r="E23" s="5">
        <v>8.9762639455899157E-2</v>
      </c>
      <c r="F23" s="16">
        <f t="shared" si="0"/>
        <v>0</v>
      </c>
      <c r="G23" s="5">
        <v>1.0000000000000001E-9</v>
      </c>
      <c r="H23" s="16" t="str">
        <f t="shared" si="2"/>
        <v>MATCHES APPROVED</v>
      </c>
      <c r="I23" s="18" t="s">
        <v>661</v>
      </c>
    </row>
    <row r="24" spans="1:9" x14ac:dyDescent="0.45">
      <c r="A24" s="5" t="s">
        <v>662</v>
      </c>
      <c r="B24" s="5" t="s">
        <v>609</v>
      </c>
      <c r="C24" s="5" t="s">
        <v>654</v>
      </c>
      <c r="D24" s="16">
        <f>WACC!E32</f>
        <v>5.5600000000000004E-2</v>
      </c>
      <c r="E24" s="5">
        <v>5.5599999999999997E-2</v>
      </c>
      <c r="F24" s="16">
        <f t="shared" si="0"/>
        <v>0</v>
      </c>
      <c r="G24" s="5">
        <v>1.0000000000000001E-9</v>
      </c>
      <c r="H24" s="16" t="str">
        <f t="shared" si="2"/>
        <v>MATCHES APPROVED</v>
      </c>
      <c r="I24" s="18" t="s">
        <v>663</v>
      </c>
    </row>
    <row r="25" spans="1:9" x14ac:dyDescent="0.45">
      <c r="A25" s="5" t="s">
        <v>664</v>
      </c>
      <c r="B25" s="5" t="s">
        <v>609</v>
      </c>
      <c r="C25" s="5" t="s">
        <v>654</v>
      </c>
      <c r="D25" s="16">
        <f>WACC!E33</f>
        <v>4.3924000000000005E-2</v>
      </c>
      <c r="E25" s="5">
        <v>4.3923999999999998E-2</v>
      </c>
      <c r="F25" s="16">
        <f t="shared" si="0"/>
        <v>0</v>
      </c>
      <c r="G25" s="5">
        <v>1.0000000000000001E-9</v>
      </c>
      <c r="H25" s="16" t="str">
        <f t="shared" si="2"/>
        <v>MATCHES APPROVED</v>
      </c>
      <c r="I25" s="18" t="s">
        <v>665</v>
      </c>
    </row>
    <row r="26" spans="1:9" x14ac:dyDescent="0.45">
      <c r="A26" s="5" t="s">
        <v>666</v>
      </c>
      <c r="B26" s="5" t="s">
        <v>609</v>
      </c>
      <c r="C26" s="5" t="s">
        <v>654</v>
      </c>
      <c r="D26" s="16">
        <f>WACC!E36</f>
        <v>8.4874438275402905E-2</v>
      </c>
      <c r="E26" s="5">
        <v>8.4874438275402905E-2</v>
      </c>
      <c r="F26" s="16">
        <f t="shared" si="0"/>
        <v>0</v>
      </c>
      <c r="G26" s="5">
        <v>1.0000000000000001E-9</v>
      </c>
      <c r="H26" s="16" t="str">
        <f t="shared" si="2"/>
        <v>MATCHES APPROVED</v>
      </c>
      <c r="I26" s="18" t="s">
        <v>667</v>
      </c>
    </row>
    <row r="27" spans="1:9" x14ac:dyDescent="0.45">
      <c r="A27" s="5" t="s">
        <v>668</v>
      </c>
      <c r="B27" s="5" t="s">
        <v>609</v>
      </c>
      <c r="C27" s="5" t="s">
        <v>669</v>
      </c>
      <c r="D27" s="16">
        <f>WACC!J36</f>
        <v>8.4686944023380312E-2</v>
      </c>
      <c r="E27" s="5">
        <v>8.4686944023380326E-2</v>
      </c>
      <c r="F27" s="16">
        <f t="shared" si="0"/>
        <v>0</v>
      </c>
      <c r="G27" s="5">
        <v>1.0000000000000001E-9</v>
      </c>
      <c r="H27" s="16" t="str">
        <f t="shared" si="2"/>
        <v>MATCHES APPROVED</v>
      </c>
      <c r="I27" s="18" t="s">
        <v>670</v>
      </c>
    </row>
    <row r="28" spans="1:9" x14ac:dyDescent="0.45">
      <c r="A28" s="5" t="s">
        <v>671</v>
      </c>
      <c r="B28" s="5" t="s">
        <v>608</v>
      </c>
      <c r="C28" s="5" t="s">
        <v>672</v>
      </c>
      <c r="D28" s="16">
        <f>--(CalculatedWACC&gt;TerminalGrowth)</f>
        <v>1</v>
      </c>
      <c r="E28" s="5">
        <v>1</v>
      </c>
      <c r="F28" s="16">
        <f t="shared" si="0"/>
        <v>0</v>
      </c>
      <c r="G28" s="5">
        <v>0</v>
      </c>
      <c r="H28" s="16" t="str">
        <f>IF(AND(ISNUMBER(D28),ISNUMBER(E28),ISNUMBER(F28),ISNUMBER(G28)),IF(ABS(F28)&lt;=G28,"PASS","FAIL"),"UNVERIFIED")</f>
        <v>PASS</v>
      </c>
      <c r="I28" s="18" t="s">
        <v>673</v>
      </c>
    </row>
    <row r="29" spans="1:9" x14ac:dyDescent="0.45">
      <c r="A29" s="5" t="s">
        <v>674</v>
      </c>
      <c r="B29" s="5" t="s">
        <v>609</v>
      </c>
      <c r="C29" s="5" t="s">
        <v>675</v>
      </c>
      <c r="D29" s="16">
        <f>Scenarios!E10</f>
        <v>44542.080000000002</v>
      </c>
      <c r="E29" s="5">
        <v>44542.080000000002</v>
      </c>
      <c r="F29" s="16">
        <f t="shared" si="0"/>
        <v>0</v>
      </c>
      <c r="G29" s="5">
        <v>0.1</v>
      </c>
      <c r="H29" s="16" t="str">
        <f>IF(AND(ISNUMBER(D29),ISNUMBER(E29),ISNUMBER(F29),ISNUMBER(G29)),IF(ABS(F29)&lt;=G29,"MATCHES APPROVED","DIFFERS FROM APPROVED"),"UNVERIFIED")</f>
        <v>MATCHES APPROVED</v>
      </c>
      <c r="I29" s="18" t="s">
        <v>676</v>
      </c>
    </row>
    <row r="30" spans="1:9" x14ac:dyDescent="0.45">
      <c r="A30" s="5" t="s">
        <v>677</v>
      </c>
      <c r="B30" s="5" t="s">
        <v>609</v>
      </c>
      <c r="C30" s="5" t="s">
        <v>675</v>
      </c>
      <c r="D30" s="16">
        <f>Scenarios!E15</f>
        <v>2672.5247999999992</v>
      </c>
      <c r="E30" s="5">
        <v>2672.5248000000001</v>
      </c>
      <c r="F30" s="16">
        <f t="shared" si="0"/>
        <v>0</v>
      </c>
      <c r="G30" s="5">
        <v>0.1</v>
      </c>
      <c r="H30" s="16" t="str">
        <f>IF(AND(ISNUMBER(D30),ISNUMBER(E30),ISNUMBER(F30),ISNUMBER(G30)),IF(ABS(F30)&lt;=G30,"MATCHES APPROVED","DIFFERS FROM APPROVED"),"UNVERIFIED")</f>
        <v>MATCHES APPROVED</v>
      </c>
      <c r="I30" s="18" t="s">
        <v>678</v>
      </c>
    </row>
    <row r="31" spans="1:9" x14ac:dyDescent="0.45">
      <c r="A31" s="5" t="s">
        <v>679</v>
      </c>
      <c r="B31" s="5" t="s">
        <v>609</v>
      </c>
      <c r="C31" s="5" t="s">
        <v>675</v>
      </c>
      <c r="D31" s="16">
        <f>Scenarios!E25</f>
        <v>5211.4233600000007</v>
      </c>
      <c r="E31" s="5">
        <v>5211.4233599999998</v>
      </c>
      <c r="F31" s="16">
        <f t="shared" si="0"/>
        <v>0</v>
      </c>
      <c r="G31" s="5">
        <v>0.1</v>
      </c>
      <c r="H31" s="16" t="str">
        <f>IF(AND(ISNUMBER(D31),ISNUMBER(E31),ISNUMBER(F31),ISNUMBER(G31)),IF(ABS(F31)&lt;=G31,"MATCHES APPROVED","DIFFERS FROM APPROVED"),"UNVERIFIED")</f>
        <v>MATCHES APPROVED</v>
      </c>
      <c r="I31" s="18" t="s">
        <v>680</v>
      </c>
    </row>
    <row r="32" spans="1:9" x14ac:dyDescent="0.45">
      <c r="A32" s="5" t="s">
        <v>681</v>
      </c>
      <c r="B32" s="5" t="s">
        <v>609</v>
      </c>
      <c r="C32" s="5" t="s">
        <v>675</v>
      </c>
      <c r="D32" s="16">
        <f>Scenarios!E27</f>
        <v>2540.4974719999987</v>
      </c>
      <c r="E32" s="5">
        <v>2540.497472</v>
      </c>
      <c r="F32" s="16">
        <f t="shared" si="0"/>
        <v>0</v>
      </c>
      <c r="G32" s="5">
        <v>0.1</v>
      </c>
      <c r="H32" s="16" t="str">
        <f>IF(AND(ISNUMBER(D32),ISNUMBER(E32),ISNUMBER(F32),ISNUMBER(G32)),IF(ABS(F32)&lt;=G32,"MATCHES APPROVED","DIFFERS FROM APPROVED"),"UNVERIFIED")</f>
        <v>MATCHES APPROVED</v>
      </c>
      <c r="I32" s="18" t="s">
        <v>682</v>
      </c>
    </row>
    <row r="33" spans="1:9" ht="25.5" x14ac:dyDescent="0.45">
      <c r="A33" s="5" t="s">
        <v>683</v>
      </c>
      <c r="B33" s="5" t="s">
        <v>608</v>
      </c>
      <c r="C33" s="5" t="s">
        <v>684</v>
      </c>
      <c r="D33" s="16">
        <f>Scenarios!E27-(Scenarios!E19+Scenarios!E21-Scenarios!E23-Scenarios!E26)</f>
        <v>0</v>
      </c>
      <c r="E33" s="5">
        <v>0</v>
      </c>
      <c r="F33" s="16">
        <f t="shared" si="0"/>
        <v>0</v>
      </c>
      <c r="G33" s="5">
        <v>9.9999999999999995E-8</v>
      </c>
      <c r="H33" s="16" t="str">
        <f>IF(AND(ISNUMBER(D33),ISNUMBER(E33),ISNUMBER(F33),ISNUMBER(G33)),IF(ABS(F33)&lt;=G33,"PASS","FAIL"),"UNVERIFIED")</f>
        <v>PASS</v>
      </c>
      <c r="I33" s="18" t="s">
        <v>685</v>
      </c>
    </row>
    <row r="34" spans="1:9" x14ac:dyDescent="0.45">
      <c r="A34" s="5" t="s">
        <v>686</v>
      </c>
      <c r="B34" s="5" t="s">
        <v>609</v>
      </c>
      <c r="C34" s="5" t="s">
        <v>675</v>
      </c>
      <c r="D34" s="16">
        <f>Scenarios!F10</f>
        <v>44096.659200000002</v>
      </c>
      <c r="E34" s="5">
        <v>44096.659200000002</v>
      </c>
      <c r="F34" s="16">
        <f t="shared" si="0"/>
        <v>0</v>
      </c>
      <c r="G34" s="5">
        <v>0.1</v>
      </c>
      <c r="H34" s="16" t="str">
        <f>IF(AND(ISNUMBER(D34),ISNUMBER(E34),ISNUMBER(F34),ISNUMBER(G34)),IF(ABS(F34)&lt;=G34,"MATCHES APPROVED","DIFFERS FROM APPROVED"),"UNVERIFIED")</f>
        <v>MATCHES APPROVED</v>
      </c>
      <c r="I34" s="18" t="s">
        <v>687</v>
      </c>
    </row>
    <row r="35" spans="1:9" x14ac:dyDescent="0.45">
      <c r="A35" s="5" t="s">
        <v>688</v>
      </c>
      <c r="B35" s="5" t="s">
        <v>609</v>
      </c>
      <c r="C35" s="5" t="s">
        <v>675</v>
      </c>
      <c r="D35" s="16">
        <f>Scenarios!F15</f>
        <v>2557.6062336000014</v>
      </c>
      <c r="E35" s="5">
        <v>2557.6062336</v>
      </c>
      <c r="F35" s="16">
        <f t="shared" si="0"/>
        <v>0</v>
      </c>
      <c r="G35" s="5">
        <v>0.1</v>
      </c>
      <c r="H35" s="16" t="str">
        <f>IF(AND(ISNUMBER(D35),ISNUMBER(E35),ISNUMBER(F35),ISNUMBER(G35)),IF(ABS(F35)&lt;=G35,"MATCHES APPROVED","DIFFERS FROM APPROVED"),"UNVERIFIED")</f>
        <v>MATCHES APPROVED</v>
      </c>
      <c r="I35" s="18" t="s">
        <v>689</v>
      </c>
    </row>
    <row r="36" spans="1:9" x14ac:dyDescent="0.45">
      <c r="A36" s="5" t="s">
        <v>690</v>
      </c>
      <c r="B36" s="5" t="s">
        <v>609</v>
      </c>
      <c r="C36" s="5" t="s">
        <v>675</v>
      </c>
      <c r="D36" s="16">
        <f>Scenarios!F25</f>
        <v>5203.4057855999999</v>
      </c>
      <c r="E36" s="5">
        <v>5203.4057855999999</v>
      </c>
      <c r="F36" s="16">
        <f t="shared" si="0"/>
        <v>0</v>
      </c>
      <c r="G36" s="5">
        <v>0.1</v>
      </c>
      <c r="H36" s="16" t="str">
        <f>IF(AND(ISNUMBER(D36),ISNUMBER(E36),ISNUMBER(F36),ISNUMBER(G36)),IF(ABS(F36)&lt;=G36,"MATCHES APPROVED","DIFFERS FROM APPROVED"),"UNVERIFIED")</f>
        <v>MATCHES APPROVED</v>
      </c>
      <c r="I36" s="18" t="s">
        <v>691</v>
      </c>
    </row>
    <row r="37" spans="1:9" x14ac:dyDescent="0.45">
      <c r="A37" s="5" t="s">
        <v>692</v>
      </c>
      <c r="B37" s="5" t="s">
        <v>609</v>
      </c>
      <c r="C37" s="5" t="s">
        <v>675</v>
      </c>
      <c r="D37" s="16">
        <f>Scenarios!F27</f>
        <v>2160.8164765440015</v>
      </c>
      <c r="E37" s="5">
        <v>2160.8164765440001</v>
      </c>
      <c r="F37" s="16">
        <f t="shared" si="0"/>
        <v>0</v>
      </c>
      <c r="G37" s="5">
        <v>0.1</v>
      </c>
      <c r="H37" s="16" t="str">
        <f>IF(AND(ISNUMBER(D37),ISNUMBER(E37),ISNUMBER(F37),ISNUMBER(G37)),IF(ABS(F37)&lt;=G37,"MATCHES APPROVED","DIFFERS FROM APPROVED"),"UNVERIFIED")</f>
        <v>MATCHES APPROVED</v>
      </c>
      <c r="I37" s="18" t="s">
        <v>693</v>
      </c>
    </row>
    <row r="38" spans="1:9" ht="25.5" x14ac:dyDescent="0.45">
      <c r="A38" s="5" t="s">
        <v>694</v>
      </c>
      <c r="B38" s="5" t="s">
        <v>608</v>
      </c>
      <c r="C38" s="5" t="s">
        <v>684</v>
      </c>
      <c r="D38" s="16">
        <f>Scenarios!F27-(Scenarios!F19+Scenarios!F21-Scenarios!F23-Scenarios!F26)</f>
        <v>0</v>
      </c>
      <c r="E38" s="5">
        <v>0</v>
      </c>
      <c r="F38" s="16">
        <f t="shared" si="0"/>
        <v>0</v>
      </c>
      <c r="G38" s="5">
        <v>9.9999999999999995E-8</v>
      </c>
      <c r="H38" s="16" t="str">
        <f>IF(AND(ISNUMBER(D38),ISNUMBER(E38),ISNUMBER(F38),ISNUMBER(G38)),IF(ABS(F38)&lt;=G38,"PASS","FAIL"),"UNVERIFIED")</f>
        <v>PASS</v>
      </c>
      <c r="I38" s="18" t="s">
        <v>695</v>
      </c>
    </row>
    <row r="39" spans="1:9" x14ac:dyDescent="0.45">
      <c r="A39" s="5" t="s">
        <v>696</v>
      </c>
      <c r="B39" s="5" t="s">
        <v>609</v>
      </c>
      <c r="C39" s="5" t="s">
        <v>675</v>
      </c>
      <c r="D39" s="16">
        <f>Scenarios!G10</f>
        <v>44537.625791999999</v>
      </c>
      <c r="E39" s="5">
        <v>44537.625791999999</v>
      </c>
      <c r="F39" s="16">
        <f t="shared" si="0"/>
        <v>0</v>
      </c>
      <c r="G39" s="5">
        <v>0.1</v>
      </c>
      <c r="H39" s="16" t="str">
        <f>IF(AND(ISNUMBER(D39),ISNUMBER(E39),ISNUMBER(F39),ISNUMBER(G39)),IF(ABS(F39)&lt;=G39,"MATCHES APPROVED","DIFFERS FROM APPROVED"),"UNVERIFIED")</f>
        <v>MATCHES APPROVED</v>
      </c>
      <c r="I39" s="18" t="s">
        <v>697</v>
      </c>
    </row>
    <row r="40" spans="1:9" x14ac:dyDescent="0.45">
      <c r="A40" s="5" t="s">
        <v>698</v>
      </c>
      <c r="B40" s="5" t="s">
        <v>609</v>
      </c>
      <c r="C40" s="5" t="s">
        <v>675</v>
      </c>
      <c r="D40" s="16">
        <f>Scenarios!G15</f>
        <v>2939.4833022719995</v>
      </c>
      <c r="E40" s="5">
        <v>2939.4833022719999</v>
      </c>
      <c r="F40" s="16">
        <f t="shared" si="0"/>
        <v>0</v>
      </c>
      <c r="G40" s="5">
        <v>0.1</v>
      </c>
      <c r="H40" s="16" t="str">
        <f>IF(AND(ISNUMBER(D40),ISNUMBER(E40),ISNUMBER(F40),ISNUMBER(G40)),IF(ABS(F40)&lt;=G40,"MATCHES APPROVED","DIFFERS FROM APPROVED"),"UNVERIFIED")</f>
        <v>MATCHES APPROVED</v>
      </c>
      <c r="I40" s="18" t="s">
        <v>699</v>
      </c>
    </row>
    <row r="41" spans="1:9" x14ac:dyDescent="0.45">
      <c r="A41" s="5" t="s">
        <v>700</v>
      </c>
      <c r="B41" s="5" t="s">
        <v>609</v>
      </c>
      <c r="C41" s="5" t="s">
        <v>675</v>
      </c>
      <c r="D41" s="16">
        <f>Scenarios!G25</f>
        <v>5255.4398434559998</v>
      </c>
      <c r="E41" s="5">
        <v>5255.4398434559998</v>
      </c>
      <c r="F41" s="16">
        <f t="shared" ref="F41:F72" si="3">D41-E41</f>
        <v>0</v>
      </c>
      <c r="G41" s="5">
        <v>0.1</v>
      </c>
      <c r="H41" s="16" t="str">
        <f>IF(AND(ISNUMBER(D41),ISNUMBER(E41),ISNUMBER(F41),ISNUMBER(G41)),IF(ABS(F41)&lt;=G41,"MATCHES APPROVED","DIFFERS FROM APPROVED"),"UNVERIFIED")</f>
        <v>MATCHES APPROVED</v>
      </c>
      <c r="I41" s="18" t="s">
        <v>701</v>
      </c>
    </row>
    <row r="42" spans="1:9" x14ac:dyDescent="0.45">
      <c r="A42" s="5" t="s">
        <v>702</v>
      </c>
      <c r="B42" s="5" t="s">
        <v>609</v>
      </c>
      <c r="C42" s="5" t="s">
        <v>675</v>
      </c>
      <c r="D42" s="16">
        <f>Scenarios!G27</f>
        <v>2359.2330025228798</v>
      </c>
      <c r="E42" s="5">
        <v>2359.2330025228798</v>
      </c>
      <c r="F42" s="16">
        <f t="shared" si="3"/>
        <v>0</v>
      </c>
      <c r="G42" s="5">
        <v>0.1</v>
      </c>
      <c r="H42" s="16" t="str">
        <f>IF(AND(ISNUMBER(D42),ISNUMBER(E42),ISNUMBER(F42),ISNUMBER(G42)),IF(ABS(F42)&lt;=G42,"MATCHES APPROVED","DIFFERS FROM APPROVED"),"UNVERIFIED")</f>
        <v>MATCHES APPROVED</v>
      </c>
      <c r="I42" s="18" t="s">
        <v>703</v>
      </c>
    </row>
    <row r="43" spans="1:9" ht="25.5" x14ac:dyDescent="0.45">
      <c r="A43" s="5" t="s">
        <v>704</v>
      </c>
      <c r="B43" s="5" t="s">
        <v>608</v>
      </c>
      <c r="C43" s="5" t="s">
        <v>684</v>
      </c>
      <c r="D43" s="16">
        <f>Scenarios!G27-(Scenarios!G19+Scenarios!G21-Scenarios!G23-Scenarios!G26)</f>
        <v>0</v>
      </c>
      <c r="E43" s="5">
        <v>0</v>
      </c>
      <c r="F43" s="16">
        <f t="shared" si="3"/>
        <v>0</v>
      </c>
      <c r="G43" s="5">
        <v>9.9999999999999995E-8</v>
      </c>
      <c r="H43" s="16" t="str">
        <f>IF(AND(ISNUMBER(D43),ISNUMBER(E43),ISNUMBER(F43),ISNUMBER(G43)),IF(ABS(F43)&lt;=G43,"PASS","FAIL"),"UNVERIFIED")</f>
        <v>PASS</v>
      </c>
      <c r="I43" s="18" t="s">
        <v>705</v>
      </c>
    </row>
    <row r="44" spans="1:9" x14ac:dyDescent="0.45">
      <c r="A44" s="5" t="s">
        <v>706</v>
      </c>
      <c r="B44" s="5" t="s">
        <v>609</v>
      </c>
      <c r="C44" s="5" t="s">
        <v>675</v>
      </c>
      <c r="D44" s="16">
        <f>Scenarios!H10</f>
        <v>45428.378307840001</v>
      </c>
      <c r="E44" s="5">
        <v>45428.378307840001</v>
      </c>
      <c r="F44" s="16">
        <f t="shared" si="3"/>
        <v>0</v>
      </c>
      <c r="G44" s="5">
        <v>0.1</v>
      </c>
      <c r="H44" s="16" t="str">
        <f>IF(AND(ISNUMBER(D44),ISNUMBER(E44),ISNUMBER(F44),ISNUMBER(G44)),IF(ABS(F44)&lt;=G44,"MATCHES APPROVED","DIFFERS FROM APPROVED"),"UNVERIFIED")</f>
        <v>MATCHES APPROVED</v>
      </c>
      <c r="I44" s="18" t="s">
        <v>707</v>
      </c>
    </row>
    <row r="45" spans="1:9" x14ac:dyDescent="0.45">
      <c r="A45" s="5" t="s">
        <v>708</v>
      </c>
      <c r="B45" s="5" t="s">
        <v>609</v>
      </c>
      <c r="C45" s="5" t="s">
        <v>675</v>
      </c>
      <c r="D45" s="16">
        <f>Scenarios!H15</f>
        <v>3407.1283730879986</v>
      </c>
      <c r="E45" s="5">
        <v>3407.128373088</v>
      </c>
      <c r="F45" s="16">
        <f t="shared" si="3"/>
        <v>0</v>
      </c>
      <c r="G45" s="5">
        <v>0.1</v>
      </c>
      <c r="H45" s="16" t="str">
        <f>IF(AND(ISNUMBER(D45),ISNUMBER(E45),ISNUMBER(F45),ISNUMBER(G45)),IF(ABS(F45)&lt;=G45,"MATCHES APPROVED","DIFFERS FROM APPROVED"),"UNVERIFIED")</f>
        <v>MATCHES APPROVED</v>
      </c>
      <c r="I45" s="18" t="s">
        <v>709</v>
      </c>
    </row>
    <row r="46" spans="1:9" x14ac:dyDescent="0.45">
      <c r="A46" s="5" t="s">
        <v>710</v>
      </c>
      <c r="B46" s="5" t="s">
        <v>609</v>
      </c>
      <c r="C46" s="5" t="s">
        <v>675</v>
      </c>
      <c r="D46" s="16">
        <f>Scenarios!H25</f>
        <v>5315.1202620172808</v>
      </c>
      <c r="E46" s="5">
        <v>5315.1202620172799</v>
      </c>
      <c r="F46" s="16">
        <f t="shared" si="3"/>
        <v>0</v>
      </c>
      <c r="G46" s="5">
        <v>0.1</v>
      </c>
      <c r="H46" s="16" t="str">
        <f>IF(AND(ISNUMBER(D46),ISNUMBER(E46),ISNUMBER(F46),ISNUMBER(G46)),IF(ABS(F46)&lt;=G46,"MATCHES APPROVED","DIFFERS FROM APPROVED"),"UNVERIFIED")</f>
        <v>MATCHES APPROVED</v>
      </c>
      <c r="I46" s="18" t="s">
        <v>711</v>
      </c>
    </row>
    <row r="47" spans="1:9" x14ac:dyDescent="0.45">
      <c r="A47" s="5" t="s">
        <v>712</v>
      </c>
      <c r="B47" s="5" t="s">
        <v>609</v>
      </c>
      <c r="C47" s="5" t="s">
        <v>675</v>
      </c>
      <c r="D47" s="16">
        <f>Scenarios!H27</f>
        <v>2631.9509961782378</v>
      </c>
      <c r="E47" s="5">
        <v>2631.9509961782401</v>
      </c>
      <c r="F47" s="16">
        <f t="shared" si="3"/>
        <v>0</v>
      </c>
      <c r="G47" s="5">
        <v>0.1</v>
      </c>
      <c r="H47" s="16" t="str">
        <f>IF(AND(ISNUMBER(D47),ISNUMBER(E47),ISNUMBER(F47),ISNUMBER(G47)),IF(ABS(F47)&lt;=G47,"MATCHES APPROVED","DIFFERS FROM APPROVED"),"UNVERIFIED")</f>
        <v>MATCHES APPROVED</v>
      </c>
      <c r="I47" s="18" t="s">
        <v>713</v>
      </c>
    </row>
    <row r="48" spans="1:9" ht="25.5" x14ac:dyDescent="0.45">
      <c r="A48" s="5" t="s">
        <v>714</v>
      </c>
      <c r="B48" s="5" t="s">
        <v>608</v>
      </c>
      <c r="C48" s="5" t="s">
        <v>684</v>
      </c>
      <c r="D48" s="16">
        <f>Scenarios!H27-(Scenarios!H19+Scenarios!H21-Scenarios!H23-Scenarios!H26)</f>
        <v>0</v>
      </c>
      <c r="E48" s="5">
        <v>0</v>
      </c>
      <c r="F48" s="16">
        <f t="shared" si="3"/>
        <v>0</v>
      </c>
      <c r="G48" s="5">
        <v>9.9999999999999995E-8</v>
      </c>
      <c r="H48" s="16" t="str">
        <f>IF(AND(ISNUMBER(D48),ISNUMBER(E48),ISNUMBER(F48),ISNUMBER(G48)),IF(ABS(F48)&lt;=G48,"PASS","FAIL"),"UNVERIFIED")</f>
        <v>PASS</v>
      </c>
      <c r="I48" s="18" t="s">
        <v>715</v>
      </c>
    </row>
    <row r="49" spans="1:9" x14ac:dyDescent="0.45">
      <c r="A49" s="5" t="s">
        <v>716</v>
      </c>
      <c r="B49" s="5" t="s">
        <v>609</v>
      </c>
      <c r="C49" s="5" t="s">
        <v>675</v>
      </c>
      <c r="D49" s="16">
        <f>Scenarios!I10</f>
        <v>46336.945873996803</v>
      </c>
      <c r="E49" s="5">
        <v>46336.945873996803</v>
      </c>
      <c r="F49" s="16">
        <f t="shared" si="3"/>
        <v>0</v>
      </c>
      <c r="G49" s="5">
        <v>0.1</v>
      </c>
      <c r="H49" s="16" t="str">
        <f>IF(AND(ISNUMBER(D49),ISNUMBER(E49),ISNUMBER(F49),ISNUMBER(G49)),IF(ABS(F49)&lt;=G49,"MATCHES APPROVED","DIFFERS FROM APPROVED"),"UNVERIFIED")</f>
        <v>MATCHES APPROVED</v>
      </c>
      <c r="I49" s="18" t="s">
        <v>717</v>
      </c>
    </row>
    <row r="50" spans="1:9" x14ac:dyDescent="0.45">
      <c r="A50" s="5" t="s">
        <v>718</v>
      </c>
      <c r="B50" s="5" t="s">
        <v>609</v>
      </c>
      <c r="C50" s="5" t="s">
        <v>675</v>
      </c>
      <c r="D50" s="16">
        <f>Scenarios!I15</f>
        <v>3799.6295616677398</v>
      </c>
      <c r="E50" s="5">
        <v>3799.629561667738</v>
      </c>
      <c r="F50" s="16">
        <f t="shared" si="3"/>
        <v>0</v>
      </c>
      <c r="G50" s="5">
        <v>0.1</v>
      </c>
      <c r="H50" s="16" t="str">
        <f>IF(AND(ISNUMBER(D50),ISNUMBER(E50),ISNUMBER(F50),ISNUMBER(G50)),IF(ABS(F50)&lt;=G50,"MATCHES APPROVED","DIFFERS FROM APPROVED"),"UNVERIFIED")</f>
        <v>MATCHES APPROVED</v>
      </c>
      <c r="I50" s="18" t="s">
        <v>719</v>
      </c>
    </row>
    <row r="51" spans="1:9" x14ac:dyDescent="0.45">
      <c r="A51" s="5" t="s">
        <v>720</v>
      </c>
      <c r="B51" s="5" t="s">
        <v>609</v>
      </c>
      <c r="C51" s="5" t="s">
        <v>675</v>
      </c>
      <c r="D51" s="16">
        <f>Scenarios!I25</f>
        <v>5328.7487755096327</v>
      </c>
      <c r="E51" s="5">
        <v>5328.7487755096317</v>
      </c>
      <c r="F51" s="16">
        <f t="shared" si="3"/>
        <v>0</v>
      </c>
      <c r="G51" s="5">
        <v>0.1</v>
      </c>
      <c r="H51" s="16" t="str">
        <f>IF(AND(ISNUMBER(D51),ISNUMBER(E51),ISNUMBER(F51),ISNUMBER(G51)),IF(ABS(F51)&lt;=G51,"MATCHES APPROVED","DIFFERS FROM APPROVED"),"UNVERIFIED")</f>
        <v>MATCHES APPROVED</v>
      </c>
      <c r="I51" s="18" t="s">
        <v>721</v>
      </c>
    </row>
    <row r="52" spans="1:9" x14ac:dyDescent="0.45">
      <c r="A52" s="5" t="s">
        <v>722</v>
      </c>
      <c r="B52" s="5" t="s">
        <v>609</v>
      </c>
      <c r="C52" s="5" t="s">
        <v>675</v>
      </c>
      <c r="D52" s="16">
        <f>Scenarios!I27</f>
        <v>2988.0788402251628</v>
      </c>
      <c r="E52" s="5">
        <v>2988.078840225161</v>
      </c>
      <c r="F52" s="16">
        <f t="shared" si="3"/>
        <v>0</v>
      </c>
      <c r="G52" s="5">
        <v>0.1</v>
      </c>
      <c r="H52" s="16" t="str">
        <f>IF(AND(ISNUMBER(D52),ISNUMBER(E52),ISNUMBER(F52),ISNUMBER(G52)),IF(ABS(F52)&lt;=G52,"MATCHES APPROVED","DIFFERS FROM APPROVED"),"UNVERIFIED")</f>
        <v>MATCHES APPROVED</v>
      </c>
      <c r="I52" s="18" t="s">
        <v>723</v>
      </c>
    </row>
    <row r="53" spans="1:9" ht="25.5" x14ac:dyDescent="0.45">
      <c r="A53" s="5" t="s">
        <v>724</v>
      </c>
      <c r="B53" s="5" t="s">
        <v>608</v>
      </c>
      <c r="C53" s="5" t="s">
        <v>684</v>
      </c>
      <c r="D53" s="16">
        <f>Scenarios!I27-(Scenarios!I19+Scenarios!I21-Scenarios!I23-Scenarios!I26)</f>
        <v>0</v>
      </c>
      <c r="E53" s="5">
        <v>0</v>
      </c>
      <c r="F53" s="16">
        <f t="shared" si="3"/>
        <v>0</v>
      </c>
      <c r="G53" s="5">
        <v>9.9999999999999995E-8</v>
      </c>
      <c r="H53" s="16" t="str">
        <f>IF(AND(ISNUMBER(D53),ISNUMBER(E53),ISNUMBER(F53),ISNUMBER(G53)),IF(ABS(F53)&lt;=G53,"PASS","FAIL"),"UNVERIFIED")</f>
        <v>PASS</v>
      </c>
      <c r="I53" s="18" t="s">
        <v>725</v>
      </c>
    </row>
    <row r="54" spans="1:9" x14ac:dyDescent="0.45">
      <c r="A54" s="5" t="s">
        <v>726</v>
      </c>
      <c r="B54" s="5" t="s">
        <v>609</v>
      </c>
      <c r="C54" s="5" t="s">
        <v>727</v>
      </c>
      <c r="D54" s="16">
        <f>Scenarios!E35</f>
        <v>45470.04</v>
      </c>
      <c r="E54" s="5">
        <v>45470.04</v>
      </c>
      <c r="F54" s="16">
        <f t="shared" si="3"/>
        <v>0</v>
      </c>
      <c r="G54" s="5">
        <v>0.1</v>
      </c>
      <c r="H54" s="16" t="str">
        <f>IF(AND(ISNUMBER(D54),ISNUMBER(E54),ISNUMBER(F54),ISNUMBER(G54)),IF(ABS(F54)&lt;=G54,"MATCHES APPROVED","DIFFERS FROM APPROVED"),"UNVERIFIED")</f>
        <v>MATCHES APPROVED</v>
      </c>
      <c r="I54" s="18" t="s">
        <v>728</v>
      </c>
    </row>
    <row r="55" spans="1:9" x14ac:dyDescent="0.45">
      <c r="A55" s="5" t="s">
        <v>729</v>
      </c>
      <c r="B55" s="5" t="s">
        <v>609</v>
      </c>
      <c r="C55" s="5" t="s">
        <v>727</v>
      </c>
      <c r="D55" s="16">
        <f>Scenarios!E40</f>
        <v>3319.3129200000003</v>
      </c>
      <c r="E55" s="5">
        <v>3319.3129199999998</v>
      </c>
      <c r="F55" s="16">
        <f t="shared" si="3"/>
        <v>0</v>
      </c>
      <c r="G55" s="5">
        <v>0.1</v>
      </c>
      <c r="H55" s="16" t="str">
        <f>IF(AND(ISNUMBER(D55),ISNUMBER(E55),ISNUMBER(F55),ISNUMBER(G55)),IF(ABS(F55)&lt;=G55,"MATCHES APPROVED","DIFFERS FROM APPROVED"),"UNVERIFIED")</f>
        <v>MATCHES APPROVED</v>
      </c>
      <c r="I55" s="18" t="s">
        <v>730</v>
      </c>
    </row>
    <row r="56" spans="1:9" x14ac:dyDescent="0.45">
      <c r="A56" s="5" t="s">
        <v>731</v>
      </c>
      <c r="B56" s="5" t="s">
        <v>609</v>
      </c>
      <c r="C56" s="5" t="s">
        <v>727</v>
      </c>
      <c r="D56" s="16">
        <f>Scenarios!E50</f>
        <v>5047.1744399999998</v>
      </c>
      <c r="E56" s="5">
        <v>5047.1744399999998</v>
      </c>
      <c r="F56" s="16">
        <f t="shared" si="3"/>
        <v>0</v>
      </c>
      <c r="G56" s="5">
        <v>0.1</v>
      </c>
      <c r="H56" s="16" t="str">
        <f>IF(AND(ISNUMBER(D56),ISNUMBER(E56),ISNUMBER(F56),ISNUMBER(G56)),IF(ABS(F56)&lt;=G56,"MATCHES APPROVED","DIFFERS FROM APPROVED"),"UNVERIFIED")</f>
        <v>MATCHES APPROVED</v>
      </c>
      <c r="I56" s="18" t="s">
        <v>732</v>
      </c>
    </row>
    <row r="57" spans="1:9" x14ac:dyDescent="0.45">
      <c r="A57" s="5" t="s">
        <v>733</v>
      </c>
      <c r="B57" s="5" t="s">
        <v>609</v>
      </c>
      <c r="C57" s="5" t="s">
        <v>727</v>
      </c>
      <c r="D57" s="16">
        <f>Scenarios!E52</f>
        <v>3127.5528068000008</v>
      </c>
      <c r="E57" s="5">
        <v>3127.5528067999999</v>
      </c>
      <c r="F57" s="16">
        <f t="shared" si="3"/>
        <v>0</v>
      </c>
      <c r="G57" s="5">
        <v>0.1</v>
      </c>
      <c r="H57" s="16" t="str">
        <f>IF(AND(ISNUMBER(D57),ISNUMBER(E57),ISNUMBER(F57),ISNUMBER(G57)),IF(ABS(F57)&lt;=G57,"MATCHES APPROVED","DIFFERS FROM APPROVED"),"UNVERIFIED")</f>
        <v>MATCHES APPROVED</v>
      </c>
      <c r="I57" s="18" t="s">
        <v>734</v>
      </c>
    </row>
    <row r="58" spans="1:9" ht="25.5" x14ac:dyDescent="0.45">
      <c r="A58" s="5" t="s">
        <v>735</v>
      </c>
      <c r="B58" s="5" t="s">
        <v>608</v>
      </c>
      <c r="C58" s="5" t="s">
        <v>736</v>
      </c>
      <c r="D58" s="16">
        <f>Scenarios!E52-(Scenarios!E44+Scenarios!E46-Scenarios!E48-Scenarios!E51)</f>
        <v>0</v>
      </c>
      <c r="E58" s="5">
        <v>0</v>
      </c>
      <c r="F58" s="16">
        <f t="shared" si="3"/>
        <v>0</v>
      </c>
      <c r="G58" s="5">
        <v>9.9999999999999995E-8</v>
      </c>
      <c r="H58" s="16" t="str">
        <f>IF(AND(ISNUMBER(D58),ISNUMBER(E58),ISNUMBER(F58),ISNUMBER(G58)),IF(ABS(F58)&lt;=G58,"PASS","FAIL"),"UNVERIFIED")</f>
        <v>PASS</v>
      </c>
      <c r="I58" s="18" t="s">
        <v>737</v>
      </c>
    </row>
    <row r="59" spans="1:9" x14ac:dyDescent="0.45">
      <c r="A59" s="5" t="s">
        <v>738</v>
      </c>
      <c r="B59" s="5" t="s">
        <v>609</v>
      </c>
      <c r="C59" s="5" t="s">
        <v>727</v>
      </c>
      <c r="D59" s="16">
        <f>Scenarios!F35</f>
        <v>46379.440800000004</v>
      </c>
      <c r="E59" s="5">
        <v>46379.440799999997</v>
      </c>
      <c r="F59" s="16">
        <f t="shared" si="3"/>
        <v>0</v>
      </c>
      <c r="G59" s="5">
        <v>0.1</v>
      </c>
      <c r="H59" s="16" t="str">
        <f>IF(AND(ISNUMBER(D59),ISNUMBER(E59),ISNUMBER(F59),ISNUMBER(G59)),IF(ABS(F59)&lt;=G59,"MATCHES APPROVED","DIFFERS FROM APPROVED"),"UNVERIFIED")</f>
        <v>MATCHES APPROVED</v>
      </c>
      <c r="I59" s="18" t="s">
        <v>739</v>
      </c>
    </row>
    <row r="60" spans="1:9" x14ac:dyDescent="0.45">
      <c r="A60" s="5" t="s">
        <v>740</v>
      </c>
      <c r="B60" s="5" t="s">
        <v>609</v>
      </c>
      <c r="C60" s="5" t="s">
        <v>727</v>
      </c>
      <c r="D60" s="16">
        <f>Scenarios!F40</f>
        <v>4035.0113496000013</v>
      </c>
      <c r="E60" s="5">
        <v>4035.0113495999999</v>
      </c>
      <c r="F60" s="16">
        <f t="shared" si="3"/>
        <v>0</v>
      </c>
      <c r="G60" s="5">
        <v>0.1</v>
      </c>
      <c r="H60" s="16" t="str">
        <f>IF(AND(ISNUMBER(D60),ISNUMBER(E60),ISNUMBER(F60),ISNUMBER(G60)),IF(ABS(F60)&lt;=G60,"MATCHES APPROVED","DIFFERS FROM APPROVED"),"UNVERIFIED")</f>
        <v>MATCHES APPROVED</v>
      </c>
      <c r="I60" s="18" t="s">
        <v>741</v>
      </c>
    </row>
    <row r="61" spans="1:9" x14ac:dyDescent="0.45">
      <c r="A61" s="5" t="s">
        <v>742</v>
      </c>
      <c r="B61" s="5" t="s">
        <v>609</v>
      </c>
      <c r="C61" s="5" t="s">
        <v>727</v>
      </c>
      <c r="D61" s="16">
        <f>Scenarios!F50</f>
        <v>5008.9796064000002</v>
      </c>
      <c r="E61" s="5">
        <v>5008.9796064000002</v>
      </c>
      <c r="F61" s="16">
        <f t="shared" si="3"/>
        <v>0</v>
      </c>
      <c r="G61" s="5">
        <v>0.1</v>
      </c>
      <c r="H61" s="16" t="str">
        <f>IF(AND(ISNUMBER(D61),ISNUMBER(E61),ISNUMBER(F61),ISNUMBER(G61)),IF(ABS(F61)&lt;=G61,"MATCHES APPROVED","DIFFERS FROM APPROVED"),"UNVERIFIED")</f>
        <v>MATCHES APPROVED</v>
      </c>
      <c r="I61" s="18" t="s">
        <v>743</v>
      </c>
    </row>
    <row r="62" spans="1:9" x14ac:dyDescent="0.45">
      <c r="A62" s="5" t="s">
        <v>744</v>
      </c>
      <c r="B62" s="5" t="s">
        <v>609</v>
      </c>
      <c r="C62" s="5" t="s">
        <v>727</v>
      </c>
      <c r="D62" s="16">
        <f>Scenarios!F52</f>
        <v>3225.8537997840008</v>
      </c>
      <c r="E62" s="5">
        <v>3225.8537997839999</v>
      </c>
      <c r="F62" s="16">
        <f t="shared" si="3"/>
        <v>0</v>
      </c>
      <c r="G62" s="5">
        <v>0.1</v>
      </c>
      <c r="H62" s="16" t="str">
        <f>IF(AND(ISNUMBER(D62),ISNUMBER(E62),ISNUMBER(F62),ISNUMBER(G62)),IF(ABS(F62)&lt;=G62,"MATCHES APPROVED","DIFFERS FROM APPROVED"),"UNVERIFIED")</f>
        <v>MATCHES APPROVED</v>
      </c>
      <c r="I62" s="18" t="s">
        <v>745</v>
      </c>
    </row>
    <row r="63" spans="1:9" ht="25.5" x14ac:dyDescent="0.45">
      <c r="A63" s="5" t="s">
        <v>746</v>
      </c>
      <c r="B63" s="5" t="s">
        <v>608</v>
      </c>
      <c r="C63" s="5" t="s">
        <v>736</v>
      </c>
      <c r="D63" s="16">
        <f>Scenarios!F52-(Scenarios!F44+Scenarios!F46-Scenarios!F48-Scenarios!F51)</f>
        <v>0</v>
      </c>
      <c r="E63" s="5">
        <v>0</v>
      </c>
      <c r="F63" s="16">
        <f t="shared" si="3"/>
        <v>0</v>
      </c>
      <c r="G63" s="5">
        <v>9.9999999999999995E-8</v>
      </c>
      <c r="H63" s="16" t="str">
        <f>IF(AND(ISNUMBER(D63),ISNUMBER(E63),ISNUMBER(F63),ISNUMBER(G63)),IF(ABS(F63)&lt;=G63,"PASS","FAIL"),"UNVERIFIED")</f>
        <v>PASS</v>
      </c>
      <c r="I63" s="18" t="s">
        <v>747</v>
      </c>
    </row>
    <row r="64" spans="1:9" x14ac:dyDescent="0.45">
      <c r="A64" s="5" t="s">
        <v>748</v>
      </c>
      <c r="B64" s="5" t="s">
        <v>609</v>
      </c>
      <c r="C64" s="5" t="s">
        <v>727</v>
      </c>
      <c r="D64" s="16">
        <f>Scenarios!G35</f>
        <v>48002.721228000002</v>
      </c>
      <c r="E64" s="5">
        <v>48002.721228000002</v>
      </c>
      <c r="F64" s="16">
        <f t="shared" si="3"/>
        <v>0</v>
      </c>
      <c r="G64" s="5">
        <v>0.1</v>
      </c>
      <c r="H64" s="16" t="str">
        <f>IF(AND(ISNUMBER(D64),ISNUMBER(E64),ISNUMBER(F64),ISNUMBER(G64)),IF(ABS(F64)&lt;=G64,"MATCHES APPROVED","DIFFERS FROM APPROVED"),"UNVERIFIED")</f>
        <v>MATCHES APPROVED</v>
      </c>
      <c r="I64" s="18" t="s">
        <v>749</v>
      </c>
    </row>
    <row r="65" spans="1:9" x14ac:dyDescent="0.45">
      <c r="A65" s="5" t="s">
        <v>750</v>
      </c>
      <c r="B65" s="5" t="s">
        <v>609</v>
      </c>
      <c r="C65" s="5" t="s">
        <v>727</v>
      </c>
      <c r="D65" s="16">
        <f>Scenarios!G40</f>
        <v>4896.2775652560013</v>
      </c>
      <c r="E65" s="5">
        <v>4896.2775652560003</v>
      </c>
      <c r="F65" s="16">
        <f t="shared" si="3"/>
        <v>0</v>
      </c>
      <c r="G65" s="5">
        <v>0.1</v>
      </c>
      <c r="H65" s="16" t="str">
        <f>IF(AND(ISNUMBER(D65),ISNUMBER(E65),ISNUMBER(F65),ISNUMBER(G65)),IF(ABS(F65)&lt;=G65,"MATCHES APPROVED","DIFFERS FROM APPROVED"),"UNVERIFIED")</f>
        <v>MATCHES APPROVED</v>
      </c>
      <c r="I65" s="18" t="s">
        <v>751</v>
      </c>
    </row>
    <row r="66" spans="1:9" x14ac:dyDescent="0.45">
      <c r="A66" s="5" t="s">
        <v>752</v>
      </c>
      <c r="B66" s="5" t="s">
        <v>609</v>
      </c>
      <c r="C66" s="5" t="s">
        <v>727</v>
      </c>
      <c r="D66" s="16">
        <f>Scenarios!G50</f>
        <v>5040.2857289399999</v>
      </c>
      <c r="E66" s="5">
        <v>5040.2857289399999</v>
      </c>
      <c r="F66" s="16">
        <f t="shared" si="3"/>
        <v>0</v>
      </c>
      <c r="G66" s="5">
        <v>0.1</v>
      </c>
      <c r="H66" s="16" t="str">
        <f>IF(AND(ISNUMBER(D66),ISNUMBER(E66),ISNUMBER(F66),ISNUMBER(G66)),IF(ABS(F66)&lt;=G66,"MATCHES APPROVED","DIFFERS FROM APPROVED"),"UNVERIFIED")</f>
        <v>MATCHES APPROVED</v>
      </c>
      <c r="I66" s="18" t="s">
        <v>753</v>
      </c>
    </row>
    <row r="67" spans="1:9" x14ac:dyDescent="0.45">
      <c r="A67" s="5" t="s">
        <v>754</v>
      </c>
      <c r="B67" s="5" t="s">
        <v>609</v>
      </c>
      <c r="C67" s="5" t="s">
        <v>727</v>
      </c>
      <c r="D67" s="16">
        <f>Scenarios!G52</f>
        <v>3788.7504327842416</v>
      </c>
      <c r="E67" s="5">
        <v>3788.7504327842398</v>
      </c>
      <c r="F67" s="16">
        <f t="shared" si="3"/>
        <v>0</v>
      </c>
      <c r="G67" s="5">
        <v>0.1</v>
      </c>
      <c r="H67" s="16" t="str">
        <f>IF(AND(ISNUMBER(D67),ISNUMBER(E67),ISNUMBER(F67),ISNUMBER(G67)),IF(ABS(F67)&lt;=G67,"MATCHES APPROVED","DIFFERS FROM APPROVED"),"UNVERIFIED")</f>
        <v>MATCHES APPROVED</v>
      </c>
      <c r="I67" s="18" t="s">
        <v>755</v>
      </c>
    </row>
    <row r="68" spans="1:9" ht="25.5" x14ac:dyDescent="0.45">
      <c r="A68" s="5" t="s">
        <v>756</v>
      </c>
      <c r="B68" s="5" t="s">
        <v>608</v>
      </c>
      <c r="C68" s="5" t="s">
        <v>736</v>
      </c>
      <c r="D68" s="16">
        <f>Scenarios!G52-(Scenarios!G44+Scenarios!G46-Scenarios!G48-Scenarios!G51)</f>
        <v>0</v>
      </c>
      <c r="E68" s="5">
        <v>0</v>
      </c>
      <c r="F68" s="16">
        <f t="shared" si="3"/>
        <v>0</v>
      </c>
      <c r="G68" s="5">
        <v>9.9999999999999995E-8</v>
      </c>
      <c r="H68" s="16" t="str">
        <f>IF(AND(ISNUMBER(D68),ISNUMBER(E68),ISNUMBER(F68),ISNUMBER(G68)),IF(ABS(F68)&lt;=G68,"PASS","FAIL"),"UNVERIFIED")</f>
        <v>PASS</v>
      </c>
      <c r="I68" s="18" t="s">
        <v>757</v>
      </c>
    </row>
    <row r="69" spans="1:9" x14ac:dyDescent="0.45">
      <c r="A69" s="5" t="s">
        <v>758</v>
      </c>
      <c r="B69" s="5" t="s">
        <v>609</v>
      </c>
      <c r="C69" s="5" t="s">
        <v>727</v>
      </c>
      <c r="D69" s="16">
        <f>Scenarios!H35</f>
        <v>49922.830077120001</v>
      </c>
      <c r="E69" s="5">
        <v>49922.830077120001</v>
      </c>
      <c r="F69" s="16">
        <f t="shared" si="3"/>
        <v>0</v>
      </c>
      <c r="G69" s="5">
        <v>0.1</v>
      </c>
      <c r="H69" s="16" t="str">
        <f>IF(AND(ISNUMBER(D69),ISNUMBER(E69),ISNUMBER(F69),ISNUMBER(G69)),IF(ABS(F69)&lt;=G69,"MATCHES APPROVED","DIFFERS FROM APPROVED"),"UNVERIFIED")</f>
        <v>MATCHES APPROVED</v>
      </c>
      <c r="I69" s="18" t="s">
        <v>759</v>
      </c>
    </row>
    <row r="70" spans="1:9" x14ac:dyDescent="0.45">
      <c r="A70" s="5" t="s">
        <v>760</v>
      </c>
      <c r="B70" s="5" t="s">
        <v>609</v>
      </c>
      <c r="C70" s="5" t="s">
        <v>727</v>
      </c>
      <c r="D70" s="16">
        <f>Scenarios!H40</f>
        <v>5641.2797987145605</v>
      </c>
      <c r="E70" s="5">
        <v>5641.2797987145595</v>
      </c>
      <c r="F70" s="16">
        <f t="shared" si="3"/>
        <v>0</v>
      </c>
      <c r="G70" s="5">
        <v>0.1</v>
      </c>
      <c r="H70" s="16" t="str">
        <f>IF(AND(ISNUMBER(D70),ISNUMBER(E70),ISNUMBER(F70),ISNUMBER(G70)),IF(ABS(F70)&lt;=G70,"MATCHES APPROVED","DIFFERS FROM APPROVED"),"UNVERIFIED")</f>
        <v>MATCHES APPROVED</v>
      </c>
      <c r="I70" s="18" t="s">
        <v>761</v>
      </c>
    </row>
    <row r="71" spans="1:9" x14ac:dyDescent="0.45">
      <c r="A71" s="5" t="s">
        <v>762</v>
      </c>
      <c r="B71" s="5" t="s">
        <v>609</v>
      </c>
      <c r="C71" s="5" t="s">
        <v>727</v>
      </c>
      <c r="D71" s="16">
        <f>Scenarios!H50</f>
        <v>5092.12866786624</v>
      </c>
      <c r="E71" s="5">
        <v>5092.12866786624</v>
      </c>
      <c r="F71" s="16">
        <f t="shared" si="3"/>
        <v>0</v>
      </c>
      <c r="G71" s="5">
        <v>0.1</v>
      </c>
      <c r="H71" s="16" t="str">
        <f>IF(AND(ISNUMBER(D71),ISNUMBER(E71),ISNUMBER(F71),ISNUMBER(G71)),IF(ABS(F71)&lt;=G71,"MATCHES APPROVED","DIFFERS FROM APPROVED"),"UNVERIFIED")</f>
        <v>MATCHES APPROVED</v>
      </c>
      <c r="I71" s="18" t="s">
        <v>763</v>
      </c>
    </row>
    <row r="72" spans="1:9" x14ac:dyDescent="0.45">
      <c r="A72" s="5" t="s">
        <v>764</v>
      </c>
      <c r="B72" s="5" t="s">
        <v>609</v>
      </c>
      <c r="C72" s="5" t="s">
        <v>727</v>
      </c>
      <c r="D72" s="16">
        <f>Scenarios!H52</f>
        <v>4354.8452719811421</v>
      </c>
      <c r="E72" s="5">
        <v>4354.8452719811421</v>
      </c>
      <c r="F72" s="16">
        <f t="shared" si="3"/>
        <v>0</v>
      </c>
      <c r="G72" s="5">
        <v>0.1</v>
      </c>
      <c r="H72" s="16" t="str">
        <f>IF(AND(ISNUMBER(D72),ISNUMBER(E72),ISNUMBER(F72),ISNUMBER(G72)),IF(ABS(F72)&lt;=G72,"MATCHES APPROVED","DIFFERS FROM APPROVED"),"UNVERIFIED")</f>
        <v>MATCHES APPROVED</v>
      </c>
      <c r="I72" s="18" t="s">
        <v>765</v>
      </c>
    </row>
    <row r="73" spans="1:9" ht="25.5" x14ac:dyDescent="0.45">
      <c r="A73" s="5" t="s">
        <v>766</v>
      </c>
      <c r="B73" s="5" t="s">
        <v>608</v>
      </c>
      <c r="C73" s="5" t="s">
        <v>736</v>
      </c>
      <c r="D73" s="16">
        <f>Scenarios!H52-(Scenarios!H44+Scenarios!H46-Scenarios!H48-Scenarios!H51)</f>
        <v>0</v>
      </c>
      <c r="E73" s="5">
        <v>0</v>
      </c>
      <c r="F73" s="16">
        <f t="shared" ref="F73:F104" si="4">D73-E73</f>
        <v>0</v>
      </c>
      <c r="G73" s="5">
        <v>9.9999999999999995E-8</v>
      </c>
      <c r="H73" s="16" t="str">
        <f>IF(AND(ISNUMBER(D73),ISNUMBER(E73),ISNUMBER(F73),ISNUMBER(G73)),IF(ABS(F73)&lt;=G73,"PASS","FAIL"),"UNVERIFIED")</f>
        <v>PASS</v>
      </c>
      <c r="I73" s="18" t="s">
        <v>767</v>
      </c>
    </row>
    <row r="74" spans="1:9" x14ac:dyDescent="0.45">
      <c r="A74" s="5" t="s">
        <v>768</v>
      </c>
      <c r="B74" s="5" t="s">
        <v>609</v>
      </c>
      <c r="C74" s="5" t="s">
        <v>727</v>
      </c>
      <c r="D74" s="16">
        <f>Scenarios!I35</f>
        <v>51420.514979433603</v>
      </c>
      <c r="E74" s="5">
        <v>51420.514979433603</v>
      </c>
      <c r="F74" s="16">
        <f t="shared" si="4"/>
        <v>0</v>
      </c>
      <c r="G74" s="5">
        <v>0.1</v>
      </c>
      <c r="H74" s="16" t="str">
        <f>IF(AND(ISNUMBER(D74),ISNUMBER(E74),ISNUMBER(F74),ISNUMBER(G74)),IF(ABS(F74)&lt;=G74,"MATCHES APPROVED","DIFFERS FROM APPROVED"),"UNVERIFIED")</f>
        <v>MATCHES APPROVED</v>
      </c>
      <c r="I74" s="18" t="s">
        <v>769</v>
      </c>
    </row>
    <row r="75" spans="1:9" x14ac:dyDescent="0.45">
      <c r="A75" s="5" t="s">
        <v>770</v>
      </c>
      <c r="B75" s="5" t="s">
        <v>609</v>
      </c>
      <c r="C75" s="5" t="s">
        <v>727</v>
      </c>
      <c r="D75" s="16">
        <f>Scenarios!I40</f>
        <v>6170.4617975320325</v>
      </c>
      <c r="E75" s="5">
        <v>6170.4617975320316</v>
      </c>
      <c r="F75" s="16">
        <f t="shared" si="4"/>
        <v>0</v>
      </c>
      <c r="G75" s="5">
        <v>0.1</v>
      </c>
      <c r="H75" s="16" t="str">
        <f>IF(AND(ISNUMBER(D75),ISNUMBER(E75),ISNUMBER(F75),ISNUMBER(G75)),IF(ABS(F75)&lt;=G75,"MATCHES APPROVED","DIFFERS FROM APPROVED"),"UNVERIFIED")</f>
        <v>MATCHES APPROVED</v>
      </c>
      <c r="I75" s="18" t="s">
        <v>771</v>
      </c>
    </row>
    <row r="76" spans="1:9" x14ac:dyDescent="0.45">
      <c r="A76" s="5" t="s">
        <v>772</v>
      </c>
      <c r="B76" s="5" t="s">
        <v>609</v>
      </c>
      <c r="C76" s="5" t="s">
        <v>727</v>
      </c>
      <c r="D76" s="16">
        <f>Scenarios!I50</f>
        <v>5142.051497943361</v>
      </c>
      <c r="E76" s="5">
        <v>5142.0514979433601</v>
      </c>
      <c r="F76" s="16">
        <f t="shared" si="4"/>
        <v>0</v>
      </c>
      <c r="G76" s="5">
        <v>0.1</v>
      </c>
      <c r="H76" s="16" t="str">
        <f>IF(AND(ISNUMBER(D76),ISNUMBER(E76),ISNUMBER(F76),ISNUMBER(G76)),IF(ABS(F76)&lt;=G76,"MATCHES APPROVED","DIFFERS FROM APPROVED"),"UNVERIFIED")</f>
        <v>MATCHES APPROVED</v>
      </c>
      <c r="I76" s="18" t="s">
        <v>773</v>
      </c>
    </row>
    <row r="77" spans="1:9" x14ac:dyDescent="0.45">
      <c r="A77" s="5" t="s">
        <v>774</v>
      </c>
      <c r="B77" s="5" t="s">
        <v>609</v>
      </c>
      <c r="C77" s="5" t="s">
        <v>727</v>
      </c>
      <c r="D77" s="16">
        <f>Scenarios!I52</f>
        <v>4773.3214749937515</v>
      </c>
      <c r="E77" s="5">
        <v>4773.3214749937524</v>
      </c>
      <c r="F77" s="16">
        <f t="shared" si="4"/>
        <v>0</v>
      </c>
      <c r="G77" s="5">
        <v>0.1</v>
      </c>
      <c r="H77" s="16" t="str">
        <f>IF(AND(ISNUMBER(D77),ISNUMBER(E77),ISNUMBER(F77),ISNUMBER(G77)),IF(ABS(F77)&lt;=G77,"MATCHES APPROVED","DIFFERS FROM APPROVED"),"UNVERIFIED")</f>
        <v>MATCHES APPROVED</v>
      </c>
      <c r="I77" s="18" t="s">
        <v>775</v>
      </c>
    </row>
    <row r="78" spans="1:9" ht="25.5" x14ac:dyDescent="0.45">
      <c r="A78" s="5" t="s">
        <v>776</v>
      </c>
      <c r="B78" s="5" t="s">
        <v>608</v>
      </c>
      <c r="C78" s="5" t="s">
        <v>736</v>
      </c>
      <c r="D78" s="16">
        <f>Scenarios!I52-(Scenarios!I44+Scenarios!I46-Scenarios!I48-Scenarios!I51)</f>
        <v>0</v>
      </c>
      <c r="E78" s="5">
        <v>0</v>
      </c>
      <c r="F78" s="16">
        <f t="shared" si="4"/>
        <v>0</v>
      </c>
      <c r="G78" s="5">
        <v>9.9999999999999995E-8</v>
      </c>
      <c r="H78" s="16" t="str">
        <f>IF(AND(ISNUMBER(D78),ISNUMBER(E78),ISNUMBER(F78),ISNUMBER(G78)),IF(ABS(F78)&lt;=G78,"PASS","FAIL"),"UNVERIFIED")</f>
        <v>PASS</v>
      </c>
      <c r="I78" s="18" t="s">
        <v>777</v>
      </c>
    </row>
    <row r="79" spans="1:9" x14ac:dyDescent="0.45">
      <c r="A79" s="5" t="s">
        <v>778</v>
      </c>
      <c r="B79" s="5" t="s">
        <v>609</v>
      </c>
      <c r="C79" s="5" t="s">
        <v>779</v>
      </c>
      <c r="D79" s="16">
        <f>Scenarios!E60</f>
        <v>46629.99</v>
      </c>
      <c r="E79" s="5">
        <v>46629.99</v>
      </c>
      <c r="F79" s="16">
        <f t="shared" si="4"/>
        <v>0</v>
      </c>
      <c r="G79" s="5">
        <v>0.1</v>
      </c>
      <c r="H79" s="16" t="str">
        <f>IF(AND(ISNUMBER(D79),ISNUMBER(E79),ISNUMBER(F79),ISNUMBER(G79)),IF(ABS(F79)&lt;=G79,"MATCHES APPROVED","DIFFERS FROM APPROVED"),"UNVERIFIED")</f>
        <v>MATCHES APPROVED</v>
      </c>
      <c r="I79" s="18" t="s">
        <v>780</v>
      </c>
    </row>
    <row r="80" spans="1:9" x14ac:dyDescent="0.45">
      <c r="A80" s="5" t="s">
        <v>781</v>
      </c>
      <c r="B80" s="5" t="s">
        <v>609</v>
      </c>
      <c r="C80" s="5" t="s">
        <v>779</v>
      </c>
      <c r="D80" s="16">
        <f>Scenarios!E65</f>
        <v>3823.6591799999987</v>
      </c>
      <c r="E80" s="5">
        <v>3823.6591800000001</v>
      </c>
      <c r="F80" s="16">
        <f t="shared" si="4"/>
        <v>0</v>
      </c>
      <c r="G80" s="5">
        <v>0.1</v>
      </c>
      <c r="H80" s="16" t="str">
        <f>IF(AND(ISNUMBER(D80),ISNUMBER(E80),ISNUMBER(F80),ISNUMBER(G80)),IF(ABS(F80)&lt;=G80,"MATCHES APPROVED","DIFFERS FROM APPROVED"),"UNVERIFIED")</f>
        <v>MATCHES APPROVED</v>
      </c>
      <c r="I80" s="18" t="s">
        <v>782</v>
      </c>
    </row>
    <row r="81" spans="1:9" x14ac:dyDescent="0.45">
      <c r="A81" s="5" t="s">
        <v>783</v>
      </c>
      <c r="B81" s="5" t="s">
        <v>609</v>
      </c>
      <c r="C81" s="5" t="s">
        <v>779</v>
      </c>
      <c r="D81" s="16">
        <f>Scenarios!E75</f>
        <v>5036.03892</v>
      </c>
      <c r="E81" s="5">
        <v>5036.03892</v>
      </c>
      <c r="F81" s="16">
        <f t="shared" si="4"/>
        <v>0</v>
      </c>
      <c r="G81" s="5">
        <v>0.1</v>
      </c>
      <c r="H81" s="16" t="str">
        <f>IF(AND(ISNUMBER(D81),ISNUMBER(E81),ISNUMBER(F81),ISNUMBER(G81)),IF(ABS(F81)&lt;=G81,"MATCHES APPROVED","DIFFERS FROM APPROVED"),"UNVERIFIED")</f>
        <v>MATCHES APPROVED</v>
      </c>
      <c r="I81" s="18" t="s">
        <v>784</v>
      </c>
    </row>
    <row r="82" spans="1:9" x14ac:dyDescent="0.45">
      <c r="A82" s="5" t="s">
        <v>785</v>
      </c>
      <c r="B82" s="5" t="s">
        <v>609</v>
      </c>
      <c r="C82" s="5" t="s">
        <v>779</v>
      </c>
      <c r="D82" s="16">
        <f>Scenarios!E77</f>
        <v>3445.0218421999989</v>
      </c>
      <c r="E82" s="5">
        <v>3445.0218421999998</v>
      </c>
      <c r="F82" s="16">
        <f t="shared" si="4"/>
        <v>0</v>
      </c>
      <c r="G82" s="5">
        <v>0.1</v>
      </c>
      <c r="H82" s="16" t="str">
        <f>IF(AND(ISNUMBER(D82),ISNUMBER(E82),ISNUMBER(F82),ISNUMBER(G82)),IF(ABS(F82)&lt;=G82,"MATCHES APPROVED","DIFFERS FROM APPROVED"),"UNVERIFIED")</f>
        <v>MATCHES APPROVED</v>
      </c>
      <c r="I82" s="18" t="s">
        <v>786</v>
      </c>
    </row>
    <row r="83" spans="1:9" ht="25.5" x14ac:dyDescent="0.45">
      <c r="A83" s="5" t="s">
        <v>787</v>
      </c>
      <c r="B83" s="5" t="s">
        <v>608</v>
      </c>
      <c r="C83" s="5" t="s">
        <v>788</v>
      </c>
      <c r="D83" s="16">
        <f>Scenarios!E77-(Scenarios!E69+Scenarios!E71-Scenarios!E73-Scenarios!E76)</f>
        <v>0</v>
      </c>
      <c r="E83" s="5">
        <v>0</v>
      </c>
      <c r="F83" s="16">
        <f t="shared" si="4"/>
        <v>0</v>
      </c>
      <c r="G83" s="5">
        <v>9.9999999999999995E-8</v>
      </c>
      <c r="H83" s="16" t="str">
        <f>IF(AND(ISNUMBER(D83),ISNUMBER(E83),ISNUMBER(F83),ISNUMBER(G83)),IF(ABS(F83)&lt;=G83,"PASS","FAIL"),"UNVERIFIED")</f>
        <v>PASS</v>
      </c>
      <c r="I83" s="18" t="s">
        <v>789</v>
      </c>
    </row>
    <row r="84" spans="1:9" x14ac:dyDescent="0.45">
      <c r="A84" s="5" t="s">
        <v>790</v>
      </c>
      <c r="B84" s="5" t="s">
        <v>609</v>
      </c>
      <c r="C84" s="5" t="s">
        <v>779</v>
      </c>
      <c r="D84" s="16">
        <f>Scenarios!F60</f>
        <v>48495.189599999998</v>
      </c>
      <c r="E84" s="5">
        <v>48495.189599999998</v>
      </c>
      <c r="F84" s="16">
        <f t="shared" si="4"/>
        <v>0</v>
      </c>
      <c r="G84" s="5">
        <v>0.1</v>
      </c>
      <c r="H84" s="16" t="str">
        <f>IF(AND(ISNUMBER(D84),ISNUMBER(E84),ISNUMBER(F84),ISNUMBER(G84)),IF(ABS(F84)&lt;=G84,"MATCHES APPROVED","DIFFERS FROM APPROVED"),"UNVERIFIED")</f>
        <v>MATCHES APPROVED</v>
      </c>
      <c r="I84" s="18" t="s">
        <v>791</v>
      </c>
    </row>
    <row r="85" spans="1:9" x14ac:dyDescent="0.45">
      <c r="A85" s="5" t="s">
        <v>792</v>
      </c>
      <c r="B85" s="5" t="s">
        <v>609</v>
      </c>
      <c r="C85" s="5" t="s">
        <v>779</v>
      </c>
      <c r="D85" s="16">
        <f>Scenarios!F65</f>
        <v>4849.5189599999976</v>
      </c>
      <c r="E85" s="5">
        <v>4849.5189600000003</v>
      </c>
      <c r="F85" s="16">
        <f t="shared" si="4"/>
        <v>0</v>
      </c>
      <c r="G85" s="5">
        <v>0.1</v>
      </c>
      <c r="H85" s="16" t="str">
        <f>IF(AND(ISNUMBER(D85),ISNUMBER(E85),ISNUMBER(F85),ISNUMBER(G85)),IF(ABS(F85)&lt;=G85,"MATCHES APPROVED","DIFFERS FROM APPROVED"),"UNVERIFIED")</f>
        <v>MATCHES APPROVED</v>
      </c>
      <c r="I85" s="18" t="s">
        <v>793</v>
      </c>
    </row>
    <row r="86" spans="1:9" x14ac:dyDescent="0.45">
      <c r="A86" s="5" t="s">
        <v>794</v>
      </c>
      <c r="B86" s="5" t="s">
        <v>609</v>
      </c>
      <c r="C86" s="5" t="s">
        <v>779</v>
      </c>
      <c r="D86" s="16">
        <f>Scenarios!F75</f>
        <v>5043.4997183999994</v>
      </c>
      <c r="E86" s="5">
        <v>5043.4997184000003</v>
      </c>
      <c r="F86" s="16">
        <f t="shared" si="4"/>
        <v>0</v>
      </c>
      <c r="G86" s="5">
        <v>0.1</v>
      </c>
      <c r="H86" s="16" t="str">
        <f>IF(AND(ISNUMBER(D86),ISNUMBER(E86),ISNUMBER(F86),ISNUMBER(G86)),IF(ABS(F86)&lt;=G86,"MATCHES APPROVED","DIFFERS FROM APPROVED"),"UNVERIFIED")</f>
        <v>MATCHES APPROVED</v>
      </c>
      <c r="I86" s="18" t="s">
        <v>795</v>
      </c>
    </row>
    <row r="87" spans="1:9" x14ac:dyDescent="0.45">
      <c r="A87" s="5" t="s">
        <v>796</v>
      </c>
      <c r="B87" s="5" t="s">
        <v>609</v>
      </c>
      <c r="C87" s="5" t="s">
        <v>779</v>
      </c>
      <c r="D87" s="16">
        <f>Scenarios!F77</f>
        <v>3726.6688007999987</v>
      </c>
      <c r="E87" s="5">
        <v>3726.6688008000001</v>
      </c>
      <c r="F87" s="16">
        <f t="shared" si="4"/>
        <v>0</v>
      </c>
      <c r="G87" s="5">
        <v>0.1</v>
      </c>
      <c r="H87" s="16" t="str">
        <f>IF(AND(ISNUMBER(D87),ISNUMBER(E87),ISNUMBER(F87),ISNUMBER(G87)),IF(ABS(F87)&lt;=G87,"MATCHES APPROVED","DIFFERS FROM APPROVED"),"UNVERIFIED")</f>
        <v>MATCHES APPROVED</v>
      </c>
      <c r="I87" s="18" t="s">
        <v>797</v>
      </c>
    </row>
    <row r="88" spans="1:9" ht="25.5" x14ac:dyDescent="0.45">
      <c r="A88" s="5" t="s">
        <v>798</v>
      </c>
      <c r="B88" s="5" t="s">
        <v>608</v>
      </c>
      <c r="C88" s="5" t="s">
        <v>788</v>
      </c>
      <c r="D88" s="16">
        <f>Scenarios!F77-(Scenarios!F69+Scenarios!F71-Scenarios!F73-Scenarios!F76)</f>
        <v>0</v>
      </c>
      <c r="E88" s="5">
        <v>0</v>
      </c>
      <c r="F88" s="16">
        <f t="shared" si="4"/>
        <v>0</v>
      </c>
      <c r="G88" s="5">
        <v>9.9999999999999995E-8</v>
      </c>
      <c r="H88" s="16" t="str">
        <f>IF(AND(ISNUMBER(D88),ISNUMBER(E88),ISNUMBER(F88),ISNUMBER(G88)),IF(ABS(F88)&lt;=G88,"PASS","FAIL"),"UNVERIFIED")</f>
        <v>PASS</v>
      </c>
      <c r="I88" s="18" t="s">
        <v>799</v>
      </c>
    </row>
    <row r="89" spans="1:9" x14ac:dyDescent="0.45">
      <c r="A89" s="5" t="s">
        <v>800</v>
      </c>
      <c r="B89" s="5" t="s">
        <v>609</v>
      </c>
      <c r="C89" s="5" t="s">
        <v>779</v>
      </c>
      <c r="D89" s="16">
        <f>Scenarios!G60</f>
        <v>50919.949079999999</v>
      </c>
      <c r="E89" s="5">
        <v>50919.949079999999</v>
      </c>
      <c r="F89" s="16">
        <f t="shared" si="4"/>
        <v>0</v>
      </c>
      <c r="G89" s="5">
        <v>0.1</v>
      </c>
      <c r="H89" s="16" t="str">
        <f>IF(AND(ISNUMBER(D89),ISNUMBER(E89),ISNUMBER(F89),ISNUMBER(G89)),IF(ABS(F89)&lt;=G89,"MATCHES APPROVED","DIFFERS FROM APPROVED"),"UNVERIFIED")</f>
        <v>MATCHES APPROVED</v>
      </c>
      <c r="I89" s="18" t="s">
        <v>801</v>
      </c>
    </row>
    <row r="90" spans="1:9" x14ac:dyDescent="0.45">
      <c r="A90" s="5" t="s">
        <v>802</v>
      </c>
      <c r="B90" s="5" t="s">
        <v>609</v>
      </c>
      <c r="C90" s="5" t="s">
        <v>779</v>
      </c>
      <c r="D90" s="16">
        <f>Scenarios!G65</f>
        <v>6110.3938896</v>
      </c>
      <c r="E90" s="5">
        <v>6110.3938896</v>
      </c>
      <c r="F90" s="16">
        <f t="shared" si="4"/>
        <v>0</v>
      </c>
      <c r="G90" s="5">
        <v>0.1</v>
      </c>
      <c r="H90" s="16" t="str">
        <f>IF(AND(ISNUMBER(D90),ISNUMBER(E90),ISNUMBER(F90),ISNUMBER(G90)),IF(ABS(F90)&lt;=G90,"MATCHES APPROVED","DIFFERS FROM APPROVED"),"UNVERIFIED")</f>
        <v>MATCHES APPROVED</v>
      </c>
      <c r="I90" s="18" t="s">
        <v>803</v>
      </c>
    </row>
    <row r="91" spans="1:9" x14ac:dyDescent="0.45">
      <c r="A91" s="5" t="s">
        <v>804</v>
      </c>
      <c r="B91" s="5" t="s">
        <v>609</v>
      </c>
      <c r="C91" s="5" t="s">
        <v>779</v>
      </c>
      <c r="D91" s="16">
        <f>Scenarios!G75</f>
        <v>5091.9949080000006</v>
      </c>
      <c r="E91" s="5">
        <v>5091.9949079999997</v>
      </c>
      <c r="F91" s="16">
        <f t="shared" si="4"/>
        <v>0</v>
      </c>
      <c r="G91" s="5">
        <v>0.1</v>
      </c>
      <c r="H91" s="16" t="str">
        <f>IF(AND(ISNUMBER(D91),ISNUMBER(E91),ISNUMBER(F91),ISNUMBER(G91)),IF(ABS(F91)&lt;=G91,"MATCHES APPROVED","DIFFERS FROM APPROVED"),"UNVERIFIED")</f>
        <v>MATCHES APPROVED</v>
      </c>
      <c r="I91" s="18" t="s">
        <v>805</v>
      </c>
    </row>
    <row r="92" spans="1:9" x14ac:dyDescent="0.45">
      <c r="A92" s="5" t="s">
        <v>806</v>
      </c>
      <c r="B92" s="5" t="s">
        <v>609</v>
      </c>
      <c r="C92" s="5" t="s">
        <v>779</v>
      </c>
      <c r="D92" s="16">
        <f>Scenarios!G77</f>
        <v>4625.9561359439986</v>
      </c>
      <c r="E92" s="5">
        <v>4625.9561359440004</v>
      </c>
      <c r="F92" s="16">
        <f t="shared" si="4"/>
        <v>0</v>
      </c>
      <c r="G92" s="5">
        <v>0.1</v>
      </c>
      <c r="H92" s="16" t="str">
        <f>IF(AND(ISNUMBER(D92),ISNUMBER(E92),ISNUMBER(F92),ISNUMBER(G92)),IF(ABS(F92)&lt;=G92,"MATCHES APPROVED","DIFFERS FROM APPROVED"),"UNVERIFIED")</f>
        <v>MATCHES APPROVED</v>
      </c>
      <c r="I92" s="18" t="s">
        <v>807</v>
      </c>
    </row>
    <row r="93" spans="1:9" ht="25.5" x14ac:dyDescent="0.45">
      <c r="A93" s="5" t="s">
        <v>808</v>
      </c>
      <c r="B93" s="5" t="s">
        <v>608</v>
      </c>
      <c r="C93" s="5" t="s">
        <v>788</v>
      </c>
      <c r="D93" s="16">
        <f>Scenarios!G77-(Scenarios!G69+Scenarios!G71-Scenarios!G73-Scenarios!G76)</f>
        <v>0</v>
      </c>
      <c r="E93" s="5">
        <v>0</v>
      </c>
      <c r="F93" s="16">
        <f t="shared" si="4"/>
        <v>0</v>
      </c>
      <c r="G93" s="5">
        <v>9.9999999999999995E-8</v>
      </c>
      <c r="H93" s="16" t="str">
        <f>IF(AND(ISNUMBER(D93),ISNUMBER(E93),ISNUMBER(F93),ISNUMBER(G93)),IF(ABS(F93)&lt;=G93,"PASS","FAIL"),"UNVERIFIED")</f>
        <v>PASS</v>
      </c>
      <c r="I93" s="18" t="s">
        <v>809</v>
      </c>
    </row>
    <row r="94" spans="1:9" x14ac:dyDescent="0.45">
      <c r="A94" s="5" t="s">
        <v>810</v>
      </c>
      <c r="B94" s="5" t="s">
        <v>609</v>
      </c>
      <c r="C94" s="5" t="s">
        <v>779</v>
      </c>
      <c r="D94" s="16">
        <f>Scenarios!H60</f>
        <v>53465.946534000002</v>
      </c>
      <c r="E94" s="5">
        <v>53465.946534000002</v>
      </c>
      <c r="F94" s="16">
        <f t="shared" si="4"/>
        <v>0</v>
      </c>
      <c r="G94" s="5">
        <v>0.1</v>
      </c>
      <c r="H94" s="16" t="str">
        <f>IF(AND(ISNUMBER(D94),ISNUMBER(E94),ISNUMBER(F94),ISNUMBER(G94)),IF(ABS(F94)&lt;=G94,"MATCHES APPROVED","DIFFERS FROM APPROVED"),"UNVERIFIED")</f>
        <v>MATCHES APPROVED</v>
      </c>
      <c r="I94" s="18" t="s">
        <v>811</v>
      </c>
    </row>
    <row r="95" spans="1:9" x14ac:dyDescent="0.45">
      <c r="A95" s="5" t="s">
        <v>812</v>
      </c>
      <c r="B95" s="5" t="s">
        <v>609</v>
      </c>
      <c r="C95" s="5" t="s">
        <v>779</v>
      </c>
      <c r="D95" s="16">
        <f>Scenarios!H65</f>
        <v>7110.970889021999</v>
      </c>
      <c r="E95" s="5">
        <v>7110.9708890219999</v>
      </c>
      <c r="F95" s="16">
        <f t="shared" si="4"/>
        <v>0</v>
      </c>
      <c r="G95" s="5">
        <v>0.1</v>
      </c>
      <c r="H95" s="16" t="str">
        <f>IF(AND(ISNUMBER(D95),ISNUMBER(E95),ISNUMBER(F95),ISNUMBER(G95)),IF(ABS(F95)&lt;=G95,"MATCHES APPROVED","DIFFERS FROM APPROVED"),"UNVERIFIED")</f>
        <v>MATCHES APPROVED</v>
      </c>
      <c r="I95" s="18" t="s">
        <v>813</v>
      </c>
    </row>
    <row r="96" spans="1:9" x14ac:dyDescent="0.45">
      <c r="A96" s="5" t="s">
        <v>814</v>
      </c>
      <c r="B96" s="5" t="s">
        <v>609</v>
      </c>
      <c r="C96" s="5" t="s">
        <v>779</v>
      </c>
      <c r="D96" s="16">
        <f>Scenarios!H75</f>
        <v>5186.1968137980002</v>
      </c>
      <c r="E96" s="5">
        <v>5186.1968137980002</v>
      </c>
      <c r="F96" s="16">
        <f t="shared" si="4"/>
        <v>0</v>
      </c>
      <c r="G96" s="5">
        <v>0.1</v>
      </c>
      <c r="H96" s="16" t="str">
        <f>IF(AND(ISNUMBER(D96),ISNUMBER(E96),ISNUMBER(F96),ISNUMBER(G96)),IF(ABS(F96)&lt;=G96,"MATCHES APPROVED","DIFFERS FROM APPROVED"),"UNVERIFIED")</f>
        <v>MATCHES APPROVED</v>
      </c>
      <c r="I96" s="18" t="s">
        <v>815</v>
      </c>
    </row>
    <row r="97" spans="1:9" x14ac:dyDescent="0.45">
      <c r="A97" s="5" t="s">
        <v>816</v>
      </c>
      <c r="B97" s="5" t="s">
        <v>609</v>
      </c>
      <c r="C97" s="5" t="s">
        <v>779</v>
      </c>
      <c r="D97" s="16">
        <f>Scenarios!H77</f>
        <v>5416.5332034613793</v>
      </c>
      <c r="E97" s="5">
        <v>5416.5332034613803</v>
      </c>
      <c r="F97" s="16">
        <f t="shared" si="4"/>
        <v>0</v>
      </c>
      <c r="G97" s="5">
        <v>0.1</v>
      </c>
      <c r="H97" s="16" t="str">
        <f>IF(AND(ISNUMBER(D97),ISNUMBER(E97),ISNUMBER(F97),ISNUMBER(G97)),IF(ABS(F97)&lt;=G97,"MATCHES APPROVED","DIFFERS FROM APPROVED"),"UNVERIFIED")</f>
        <v>MATCHES APPROVED</v>
      </c>
      <c r="I97" s="18" t="s">
        <v>817</v>
      </c>
    </row>
    <row r="98" spans="1:9" ht="25.5" x14ac:dyDescent="0.45">
      <c r="A98" s="5" t="s">
        <v>818</v>
      </c>
      <c r="B98" s="5" t="s">
        <v>608</v>
      </c>
      <c r="C98" s="5" t="s">
        <v>788</v>
      </c>
      <c r="D98" s="16">
        <f>Scenarios!H77-(Scenarios!H69+Scenarios!H71-Scenarios!H73-Scenarios!H76)</f>
        <v>0</v>
      </c>
      <c r="E98" s="5">
        <v>0</v>
      </c>
      <c r="F98" s="16">
        <f t="shared" si="4"/>
        <v>0</v>
      </c>
      <c r="G98" s="5">
        <v>9.9999999999999995E-8</v>
      </c>
      <c r="H98" s="16" t="str">
        <f>IF(AND(ISNUMBER(D98),ISNUMBER(E98),ISNUMBER(F98),ISNUMBER(G98)),IF(ABS(F98)&lt;=G98,"PASS","FAIL"),"UNVERIFIED")</f>
        <v>PASS</v>
      </c>
      <c r="I98" s="18" t="s">
        <v>819</v>
      </c>
    </row>
    <row r="99" spans="1:9" x14ac:dyDescent="0.45">
      <c r="A99" s="5" t="s">
        <v>820</v>
      </c>
      <c r="B99" s="5" t="s">
        <v>609</v>
      </c>
      <c r="C99" s="5" t="s">
        <v>779</v>
      </c>
      <c r="D99" s="16">
        <f>Scenarios!I60</f>
        <v>55337.25466269</v>
      </c>
      <c r="E99" s="5">
        <v>55337.25466269</v>
      </c>
      <c r="F99" s="16">
        <f t="shared" si="4"/>
        <v>0</v>
      </c>
      <c r="G99" s="5">
        <v>0.1</v>
      </c>
      <c r="H99" s="16" t="str">
        <f>IF(AND(ISNUMBER(D99),ISNUMBER(E99),ISNUMBER(F99),ISNUMBER(G99)),IF(ABS(F99)&lt;=G99,"MATCHES APPROVED","DIFFERS FROM APPROVED"),"UNVERIFIED")</f>
        <v>MATCHES APPROVED</v>
      </c>
      <c r="I99" s="18" t="s">
        <v>821</v>
      </c>
    </row>
    <row r="100" spans="1:9" x14ac:dyDescent="0.45">
      <c r="A100" s="5" t="s">
        <v>822</v>
      </c>
      <c r="B100" s="5" t="s">
        <v>609</v>
      </c>
      <c r="C100" s="5" t="s">
        <v>779</v>
      </c>
      <c r="D100" s="16">
        <f>Scenarios!I65</f>
        <v>7747.2156527765983</v>
      </c>
      <c r="E100" s="5">
        <v>7747.2156527766001</v>
      </c>
      <c r="F100" s="16">
        <f t="shared" si="4"/>
        <v>0</v>
      </c>
      <c r="G100" s="5">
        <v>0.1</v>
      </c>
      <c r="H100" s="16" t="str">
        <f>IF(AND(ISNUMBER(D100),ISNUMBER(E100),ISNUMBER(F100),ISNUMBER(G100)),IF(ABS(F100)&lt;=G100,"MATCHES APPROVED","DIFFERS FROM APPROVED"),"UNVERIFIED")</f>
        <v>MATCHES APPROVED</v>
      </c>
      <c r="I100" s="18" t="s">
        <v>823</v>
      </c>
    </row>
    <row r="101" spans="1:9" x14ac:dyDescent="0.45">
      <c r="A101" s="5" t="s">
        <v>824</v>
      </c>
      <c r="B101" s="5" t="s">
        <v>609</v>
      </c>
      <c r="C101" s="5" t="s">
        <v>779</v>
      </c>
      <c r="D101" s="16">
        <f>Scenarios!I75</f>
        <v>5257.0391929555499</v>
      </c>
      <c r="E101" s="5">
        <v>5257.0391929555499</v>
      </c>
      <c r="F101" s="16">
        <f t="shared" si="4"/>
        <v>0</v>
      </c>
      <c r="G101" s="5">
        <v>0.1</v>
      </c>
      <c r="H101" s="16" t="str">
        <f>IF(AND(ISNUMBER(D101),ISNUMBER(E101),ISNUMBER(F101),ISNUMBER(G101)),IF(ABS(F101)&lt;=G101,"MATCHES APPROVED","DIFFERS FROM APPROVED"),"UNVERIFIED")</f>
        <v>MATCHES APPROVED</v>
      </c>
      <c r="I101" s="18" t="s">
        <v>825</v>
      </c>
    </row>
    <row r="102" spans="1:9" x14ac:dyDescent="0.45">
      <c r="A102" s="5" t="s">
        <v>826</v>
      </c>
      <c r="B102" s="5" t="s">
        <v>609</v>
      </c>
      <c r="C102" s="5" t="s">
        <v>779</v>
      </c>
      <c r="D102" s="16">
        <f>Scenarios!I77</f>
        <v>5994.1207318732731</v>
      </c>
      <c r="E102" s="5">
        <v>5994.1207318732741</v>
      </c>
      <c r="F102" s="16">
        <f t="shared" si="4"/>
        <v>0</v>
      </c>
      <c r="G102" s="5">
        <v>0.1</v>
      </c>
      <c r="H102" s="16" t="str">
        <f>IF(AND(ISNUMBER(D102),ISNUMBER(E102),ISNUMBER(F102),ISNUMBER(G102)),IF(ABS(F102)&lt;=G102,"MATCHES APPROVED","DIFFERS FROM APPROVED"),"UNVERIFIED")</f>
        <v>MATCHES APPROVED</v>
      </c>
      <c r="I102" s="18" t="s">
        <v>827</v>
      </c>
    </row>
    <row r="103" spans="1:9" ht="25.5" x14ac:dyDescent="0.45">
      <c r="A103" s="5" t="s">
        <v>828</v>
      </c>
      <c r="B103" s="5" t="s">
        <v>608</v>
      </c>
      <c r="C103" s="5" t="s">
        <v>788</v>
      </c>
      <c r="D103" s="16">
        <f>Scenarios!I77-(Scenarios!I69+Scenarios!I71-Scenarios!I73-Scenarios!I76)</f>
        <v>0</v>
      </c>
      <c r="E103" s="5">
        <v>0</v>
      </c>
      <c r="F103" s="16">
        <f t="shared" si="4"/>
        <v>0</v>
      </c>
      <c r="G103" s="5">
        <v>9.9999999999999995E-8</v>
      </c>
      <c r="H103" s="16" t="str">
        <f>IF(AND(ISNUMBER(D103),ISNUMBER(E103),ISNUMBER(F103),ISNUMBER(G103)),IF(ABS(F103)&lt;=G103,"PASS","FAIL"),"UNVERIFIED")</f>
        <v>PASS</v>
      </c>
      <c r="I103" s="18" t="s">
        <v>829</v>
      </c>
    </row>
    <row r="104" spans="1:9" x14ac:dyDescent="0.45">
      <c r="A104" s="5" t="s">
        <v>830</v>
      </c>
      <c r="B104" s="5" t="s">
        <v>609</v>
      </c>
      <c r="C104" s="5" t="s">
        <v>831</v>
      </c>
      <c r="D104" s="16">
        <f>DCF!E14</f>
        <v>0.73698630136986298</v>
      </c>
      <c r="E104" s="5">
        <v>0.73698630136986298</v>
      </c>
      <c r="F104" s="16">
        <f t="shared" si="4"/>
        <v>0</v>
      </c>
      <c r="G104" s="5">
        <v>1.0000000000000001E-9</v>
      </c>
      <c r="H104" s="16" t="str">
        <f t="shared" ref="H104:H113" si="5">IF(AND(ISNUMBER(D104),ISNUMBER(E104),ISNUMBER(F104),ISNUMBER(G104)),IF(ABS(F104)&lt;=G104,"MATCHES APPROVED","DIFFERS FROM APPROVED"),"UNVERIFIED")</f>
        <v>MATCHES APPROVED</v>
      </c>
      <c r="I104" s="18" t="s">
        <v>832</v>
      </c>
    </row>
    <row r="105" spans="1:9" x14ac:dyDescent="0.45">
      <c r="A105" s="5" t="s">
        <v>833</v>
      </c>
      <c r="B105" s="5" t="s">
        <v>609</v>
      </c>
      <c r="C105" s="5" t="s">
        <v>831</v>
      </c>
      <c r="D105" s="16">
        <f>DCF!E15</f>
        <v>0.94172870941411013</v>
      </c>
      <c r="E105" s="5">
        <v>0.94172870941411024</v>
      </c>
      <c r="F105" s="16">
        <f t="shared" ref="F105:F136" si="6">D105-E105</f>
        <v>0</v>
      </c>
      <c r="G105" s="5">
        <v>1.0000000000000001E-9</v>
      </c>
      <c r="H105" s="16" t="str">
        <f t="shared" si="5"/>
        <v>MATCHES APPROVED</v>
      </c>
      <c r="I105" s="18" t="s">
        <v>834</v>
      </c>
    </row>
    <row r="106" spans="1:9" x14ac:dyDescent="0.45">
      <c r="A106" s="5" t="s">
        <v>835</v>
      </c>
      <c r="B106" s="5" t="s">
        <v>609</v>
      </c>
      <c r="C106" s="5" t="s">
        <v>831</v>
      </c>
      <c r="D106" s="16">
        <f>DCF!F14</f>
        <v>1.7397260273972603</v>
      </c>
      <c r="E106" s="5">
        <v>1.7397260273972599</v>
      </c>
      <c r="F106" s="16">
        <f t="shared" si="6"/>
        <v>0</v>
      </c>
      <c r="G106" s="5">
        <v>1.0000000000000001E-9</v>
      </c>
      <c r="H106" s="16" t="str">
        <f t="shared" si="5"/>
        <v>MATCHES APPROVED</v>
      </c>
      <c r="I106" s="18" t="s">
        <v>836</v>
      </c>
    </row>
    <row r="107" spans="1:9" x14ac:dyDescent="0.45">
      <c r="A107" s="5" t="s">
        <v>837</v>
      </c>
      <c r="B107" s="5" t="s">
        <v>609</v>
      </c>
      <c r="C107" s="5" t="s">
        <v>831</v>
      </c>
      <c r="D107" s="16">
        <f>DCF!F15</f>
        <v>0.86785946415925996</v>
      </c>
      <c r="E107" s="5">
        <v>0.86785946415926007</v>
      </c>
      <c r="F107" s="16">
        <f t="shared" si="6"/>
        <v>0</v>
      </c>
      <c r="G107" s="5">
        <v>1.0000000000000001E-9</v>
      </c>
      <c r="H107" s="16" t="str">
        <f t="shared" si="5"/>
        <v>MATCHES APPROVED</v>
      </c>
      <c r="I107" s="18" t="s">
        <v>838</v>
      </c>
    </row>
    <row r="108" spans="1:9" x14ac:dyDescent="0.45">
      <c r="A108" s="5" t="s">
        <v>839</v>
      </c>
      <c r="B108" s="5" t="s">
        <v>609</v>
      </c>
      <c r="C108" s="5" t="s">
        <v>831</v>
      </c>
      <c r="D108" s="16">
        <f>DCF!G14</f>
        <v>2.7397260273972601</v>
      </c>
      <c r="E108" s="5">
        <v>2.7397260273972601</v>
      </c>
      <c r="F108" s="16">
        <f t="shared" si="6"/>
        <v>0</v>
      </c>
      <c r="G108" s="5">
        <v>1.0000000000000001E-9</v>
      </c>
      <c r="H108" s="16" t="str">
        <f t="shared" si="5"/>
        <v>MATCHES APPROVED</v>
      </c>
      <c r="I108" s="18" t="s">
        <v>840</v>
      </c>
    </row>
    <row r="109" spans="1:9" x14ac:dyDescent="0.45">
      <c r="A109" s="5" t="s">
        <v>841</v>
      </c>
      <c r="B109" s="5" t="s">
        <v>609</v>
      </c>
      <c r="C109" s="5" t="s">
        <v>831</v>
      </c>
      <c r="D109" s="16">
        <f>DCF!G15</f>
        <v>0.79996304967685838</v>
      </c>
      <c r="E109" s="5">
        <v>0.7999630496768585</v>
      </c>
      <c r="F109" s="16">
        <f t="shared" si="6"/>
        <v>0</v>
      </c>
      <c r="G109" s="5">
        <v>1.0000000000000001E-9</v>
      </c>
      <c r="H109" s="16" t="str">
        <f t="shared" si="5"/>
        <v>MATCHES APPROVED</v>
      </c>
      <c r="I109" s="18" t="s">
        <v>842</v>
      </c>
    </row>
    <row r="110" spans="1:9" x14ac:dyDescent="0.45">
      <c r="A110" s="5" t="s">
        <v>843</v>
      </c>
      <c r="B110" s="5" t="s">
        <v>609</v>
      </c>
      <c r="C110" s="5" t="s">
        <v>831</v>
      </c>
      <c r="D110" s="16">
        <f>DCF!H14</f>
        <v>3.7397260273972601</v>
      </c>
      <c r="E110" s="5">
        <v>3.7397260273972601</v>
      </c>
      <c r="F110" s="16">
        <f t="shared" si="6"/>
        <v>0</v>
      </c>
      <c r="G110" s="5">
        <v>1.0000000000000001E-9</v>
      </c>
      <c r="H110" s="16" t="str">
        <f t="shared" si="5"/>
        <v>MATCHES APPROVED</v>
      </c>
      <c r="I110" s="18" t="s">
        <v>844</v>
      </c>
    </row>
    <row r="111" spans="1:9" x14ac:dyDescent="0.45">
      <c r="A111" s="5" t="s">
        <v>845</v>
      </c>
      <c r="B111" s="5" t="s">
        <v>609</v>
      </c>
      <c r="C111" s="5" t="s">
        <v>831</v>
      </c>
      <c r="D111" s="16">
        <f>DCF!H15</f>
        <v>0.73737846653345351</v>
      </c>
      <c r="E111" s="5">
        <v>0.73737846653345362</v>
      </c>
      <c r="F111" s="16">
        <f t="shared" si="6"/>
        <v>0</v>
      </c>
      <c r="G111" s="5">
        <v>1.0000000000000001E-9</v>
      </c>
      <c r="H111" s="16" t="str">
        <f t="shared" si="5"/>
        <v>MATCHES APPROVED</v>
      </c>
      <c r="I111" s="18" t="s">
        <v>846</v>
      </c>
    </row>
    <row r="112" spans="1:9" x14ac:dyDescent="0.45">
      <c r="A112" s="5" t="s">
        <v>847</v>
      </c>
      <c r="B112" s="5" t="s">
        <v>609</v>
      </c>
      <c r="C112" s="5" t="s">
        <v>831</v>
      </c>
      <c r="D112" s="16">
        <f>DCF!I14</f>
        <v>4.7397260273972606</v>
      </c>
      <c r="E112" s="5">
        <v>4.7397260273972606</v>
      </c>
      <c r="F112" s="16">
        <f t="shared" si="6"/>
        <v>0</v>
      </c>
      <c r="G112" s="5">
        <v>1.0000000000000001E-9</v>
      </c>
      <c r="H112" s="16" t="str">
        <f t="shared" si="5"/>
        <v>MATCHES APPROVED</v>
      </c>
      <c r="I112" s="18" t="s">
        <v>848</v>
      </c>
    </row>
    <row r="113" spans="1:9" x14ac:dyDescent="0.45">
      <c r="A113" s="5" t="s">
        <v>849</v>
      </c>
      <c r="B113" s="5" t="s">
        <v>609</v>
      </c>
      <c r="C113" s="5" t="s">
        <v>831</v>
      </c>
      <c r="D113" s="16">
        <f>DCF!I15</f>
        <v>0.6796901470972484</v>
      </c>
      <c r="E113" s="5">
        <v>0.67969014709724862</v>
      </c>
      <c r="F113" s="16">
        <f t="shared" si="6"/>
        <v>0</v>
      </c>
      <c r="G113" s="5">
        <v>1.0000000000000001E-9</v>
      </c>
      <c r="H113" s="16" t="str">
        <f t="shared" si="5"/>
        <v>MATCHES APPROVED</v>
      </c>
      <c r="I113" s="18" t="s">
        <v>850</v>
      </c>
    </row>
    <row r="114" spans="1:9" x14ac:dyDescent="0.45">
      <c r="A114" s="5" t="s">
        <v>851</v>
      </c>
      <c r="B114" s="5" t="s">
        <v>608</v>
      </c>
      <c r="C114" s="5" t="s">
        <v>831</v>
      </c>
      <c r="D114" s="16">
        <f>--AND(DCF!D12=ModelDate,DCF!E12=DATE(2027,5,31),DCF!F12=DATE(2028,5,31),DCF!G12=DATE(2029,5,31),DCF!H12=DATE(2030,5,31),DCF!I12=DATE(2031,5,31))</f>
        <v>1</v>
      </c>
      <c r="E114" s="5">
        <v>1</v>
      </c>
      <c r="F114" s="16">
        <f t="shared" si="6"/>
        <v>0</v>
      </c>
      <c r="G114" s="5">
        <v>0</v>
      </c>
      <c r="H114" s="16" t="str">
        <f t="shared" ref="H114:H122" si="7">IF(AND(ISNUMBER(D114),ISNUMBER(E114),ISNUMBER(F114),ISNUMBER(G114)),IF(ABS(F114)&lt;=G114,"PASS","FAIL"),"UNVERIFIED")</f>
        <v>PASS</v>
      </c>
      <c r="I114" s="18" t="s">
        <v>852</v>
      </c>
    </row>
    <row r="115" spans="1:9" x14ac:dyDescent="0.45">
      <c r="A115" s="5" t="s">
        <v>853</v>
      </c>
      <c r="B115" s="5" t="s">
        <v>608</v>
      </c>
      <c r="C115" s="5" t="s">
        <v>831</v>
      </c>
      <c r="D115" s="16">
        <f>DCF!E69</f>
        <v>0</v>
      </c>
      <c r="E115" s="5">
        <v>0</v>
      </c>
      <c r="F115" s="16">
        <f t="shared" si="6"/>
        <v>0</v>
      </c>
      <c r="G115" s="5">
        <v>0.1</v>
      </c>
      <c r="H115" s="16" t="str">
        <f t="shared" si="7"/>
        <v>PASS</v>
      </c>
      <c r="I115" s="18" t="s">
        <v>854</v>
      </c>
    </row>
    <row r="116" spans="1:9" x14ac:dyDescent="0.45">
      <c r="A116" s="5" t="s">
        <v>855</v>
      </c>
      <c r="B116" s="5" t="s">
        <v>608</v>
      </c>
      <c r="C116" s="5" t="s">
        <v>856</v>
      </c>
      <c r="D116" s="16">
        <f>DCF!E24</f>
        <v>52706.027853919441</v>
      </c>
      <c r="E116" s="16">
        <f>CHOOSE(MATCH(SelectedScenario,ScenarioList,0),DCF!L10,DCF!M10,DCF!N10)</f>
        <v>52706.027853919441</v>
      </c>
      <c r="F116" s="16">
        <f t="shared" si="6"/>
        <v>0</v>
      </c>
      <c r="G116" s="5">
        <v>0.1</v>
      </c>
      <c r="H116" s="16" t="str">
        <f t="shared" si="7"/>
        <v>PASS</v>
      </c>
      <c r="I116" s="18" t="s">
        <v>857</v>
      </c>
    </row>
    <row r="117" spans="1:9" x14ac:dyDescent="0.45">
      <c r="A117" s="5" t="s">
        <v>858</v>
      </c>
      <c r="B117" s="5" t="s">
        <v>608</v>
      </c>
      <c r="C117" s="5" t="s">
        <v>856</v>
      </c>
      <c r="D117" s="16">
        <f>DCF!E41</f>
        <v>4815.2741252490614</v>
      </c>
      <c r="E117" s="16">
        <f>CHOOSE(MATCH(SelectedScenario,ScenarioList,0),DCF!L20,DCF!M20,DCF!N20)</f>
        <v>4815.2741252490614</v>
      </c>
      <c r="F117" s="16">
        <f t="shared" si="6"/>
        <v>0</v>
      </c>
      <c r="G117" s="5">
        <v>0.1</v>
      </c>
      <c r="H117" s="16" t="str">
        <f t="shared" si="7"/>
        <v>PASS</v>
      </c>
      <c r="I117" s="18" t="s">
        <v>857</v>
      </c>
    </row>
    <row r="118" spans="1:9" x14ac:dyDescent="0.45">
      <c r="A118" s="5" t="s">
        <v>859</v>
      </c>
      <c r="B118" s="5" t="s">
        <v>608</v>
      </c>
      <c r="C118" s="5" t="s">
        <v>860</v>
      </c>
      <c r="D118" s="16">
        <f>DCF!E45</f>
        <v>80422.869323639738</v>
      </c>
      <c r="E118" s="16">
        <f>CHOOSE(MATCH(SelectedScenario,ScenarioList,0),DCF!L22,DCF!M22,DCF!N22)</f>
        <v>80422.869323639738</v>
      </c>
      <c r="F118" s="16">
        <f t="shared" si="6"/>
        <v>0</v>
      </c>
      <c r="G118" s="5">
        <v>0.1</v>
      </c>
      <c r="H118" s="16" t="str">
        <f t="shared" si="7"/>
        <v>PASS</v>
      </c>
      <c r="I118" s="18" t="s">
        <v>861</v>
      </c>
    </row>
    <row r="119" spans="1:9" x14ac:dyDescent="0.45">
      <c r="A119" s="5" t="s">
        <v>862</v>
      </c>
      <c r="B119" s="5" t="s">
        <v>608</v>
      </c>
      <c r="C119" s="5" t="s">
        <v>863</v>
      </c>
      <c r="D119" s="16">
        <f>DCF!E52</f>
        <v>69893.934953875854</v>
      </c>
      <c r="E119" s="16">
        <f>CHOOSE(MATCH(SelectedScenario,ScenarioList,0),DCF!L24,DCF!M24,DCF!N24)</f>
        <v>69893.934953875854</v>
      </c>
      <c r="F119" s="16">
        <f t="shared" si="6"/>
        <v>0</v>
      </c>
      <c r="G119" s="5">
        <v>0.1</v>
      </c>
      <c r="H119" s="16" t="str">
        <f t="shared" si="7"/>
        <v>PASS</v>
      </c>
      <c r="I119" s="18" t="s">
        <v>864</v>
      </c>
    </row>
    <row r="120" spans="1:9" x14ac:dyDescent="0.45">
      <c r="A120" s="5" t="s">
        <v>865</v>
      </c>
      <c r="B120" s="5" t="s">
        <v>608</v>
      </c>
      <c r="C120" s="5" t="s">
        <v>863</v>
      </c>
      <c r="D120" s="16">
        <f>DCF!E57</f>
        <v>70978.634953875851</v>
      </c>
      <c r="E120" s="16">
        <f>CHOOSE(MATCH(SelectedScenario,ScenarioList,0),DCF!L25,DCF!M25,DCF!N25)</f>
        <v>70978.634953875851</v>
      </c>
      <c r="F120" s="16">
        <f t="shared" si="6"/>
        <v>0</v>
      </c>
      <c r="G120" s="5">
        <v>0.1</v>
      </c>
      <c r="H120" s="16" t="str">
        <f t="shared" si="7"/>
        <v>PASS</v>
      </c>
      <c r="I120" s="18" t="s">
        <v>864</v>
      </c>
    </row>
    <row r="121" spans="1:9" x14ac:dyDescent="0.45">
      <c r="A121" s="5" t="s">
        <v>866</v>
      </c>
      <c r="B121" s="5" t="s">
        <v>608</v>
      </c>
      <c r="C121" s="5" t="s">
        <v>867</v>
      </c>
      <c r="D121" s="16">
        <f>--(DilutedProxyShares&gt;0)</f>
        <v>1</v>
      </c>
      <c r="E121" s="5">
        <v>1</v>
      </c>
      <c r="F121" s="16">
        <f t="shared" si="6"/>
        <v>0</v>
      </c>
      <c r="G121" s="5">
        <v>0</v>
      </c>
      <c r="H121" s="16" t="str">
        <f t="shared" si="7"/>
        <v>PASS</v>
      </c>
      <c r="I121" s="18" t="s">
        <v>868</v>
      </c>
    </row>
    <row r="122" spans="1:9" x14ac:dyDescent="0.45">
      <c r="A122" s="5" t="s">
        <v>869</v>
      </c>
      <c r="B122" s="5" t="s">
        <v>608</v>
      </c>
      <c r="C122" s="5" t="s">
        <v>870</v>
      </c>
      <c r="D122" s="16">
        <f>DCF!E60</f>
        <v>47.845431081496429</v>
      </c>
      <c r="E122" s="16">
        <f>CHOOSE(MATCH(SelectedScenario,ScenarioList,0),DCF!L27,DCF!M27,DCF!N27)</f>
        <v>47.845431081496429</v>
      </c>
      <c r="F122" s="16">
        <f t="shared" si="6"/>
        <v>0</v>
      </c>
      <c r="G122" s="5">
        <v>0.01</v>
      </c>
      <c r="H122" s="16" t="str">
        <f t="shared" si="7"/>
        <v>PASS</v>
      </c>
      <c r="I122" s="18" t="s">
        <v>871</v>
      </c>
    </row>
    <row r="123" spans="1:9" x14ac:dyDescent="0.45">
      <c r="A123" s="5" t="s">
        <v>872</v>
      </c>
      <c r="B123" s="5" t="s">
        <v>609</v>
      </c>
      <c r="C123" s="5" t="s">
        <v>873</v>
      </c>
      <c r="D123" s="16">
        <f>DCF!L26</f>
        <v>30.057413517212076</v>
      </c>
      <c r="E123" s="5">
        <v>30.057413517212069</v>
      </c>
      <c r="F123" s="16">
        <f t="shared" si="6"/>
        <v>0</v>
      </c>
      <c r="G123" s="5">
        <v>0.01</v>
      </c>
      <c r="H123" s="16" t="str">
        <f t="shared" ref="H123:H131" si="8">IF(AND(ISNUMBER(D123),ISNUMBER(E123),ISNUMBER(F123),ISNUMBER(G123)),IF(ABS(F123)&lt;=G123,"MATCHES APPROVED","DIFFERS FROM APPROVED"),"UNVERIFIED")</f>
        <v>MATCHES APPROVED</v>
      </c>
      <c r="I123" s="18" t="s">
        <v>874</v>
      </c>
    </row>
    <row r="124" spans="1:9" x14ac:dyDescent="0.45">
      <c r="A124" s="5" t="s">
        <v>875</v>
      </c>
      <c r="B124" s="5" t="s">
        <v>609</v>
      </c>
      <c r="C124" s="5" t="s">
        <v>873</v>
      </c>
      <c r="D124" s="16">
        <f>DCF!L24</f>
        <v>43541.502864539449</v>
      </c>
      <c r="E124" s="5">
        <v>43541.502864539427</v>
      </c>
      <c r="F124" s="16">
        <f t="shared" si="6"/>
        <v>0</v>
      </c>
      <c r="G124" s="5">
        <v>0.1</v>
      </c>
      <c r="H124" s="16" t="str">
        <f t="shared" si="8"/>
        <v>MATCHES APPROVED</v>
      </c>
      <c r="I124" s="18" t="s">
        <v>874</v>
      </c>
    </row>
    <row r="125" spans="1:9" x14ac:dyDescent="0.45">
      <c r="A125" s="5" t="s">
        <v>876</v>
      </c>
      <c r="B125" s="5" t="s">
        <v>609</v>
      </c>
      <c r="C125" s="5" t="s">
        <v>877</v>
      </c>
      <c r="D125" s="16">
        <f>DCF!L20</f>
        <v>2943.5313181727129</v>
      </c>
      <c r="E125" s="5">
        <v>2943.5313181727101</v>
      </c>
      <c r="F125" s="16">
        <f t="shared" si="6"/>
        <v>0</v>
      </c>
      <c r="G125" s="5">
        <v>0.1</v>
      </c>
      <c r="H125" s="16" t="str">
        <f t="shared" si="8"/>
        <v>MATCHES APPROVED</v>
      </c>
      <c r="I125" s="18" t="s">
        <v>874</v>
      </c>
    </row>
    <row r="126" spans="1:9" x14ac:dyDescent="0.45">
      <c r="A126" s="5" t="s">
        <v>878</v>
      </c>
      <c r="B126" s="5" t="s">
        <v>609</v>
      </c>
      <c r="C126" s="5" t="s">
        <v>879</v>
      </c>
      <c r="D126" s="16">
        <f>DCF!M26</f>
        <v>47.80676026082299</v>
      </c>
      <c r="E126" s="5">
        <v>47.806760260822998</v>
      </c>
      <c r="F126" s="16">
        <f t="shared" si="6"/>
        <v>0</v>
      </c>
      <c r="G126" s="5">
        <v>0.01</v>
      </c>
      <c r="H126" s="16" t="str">
        <f t="shared" si="8"/>
        <v>MATCHES APPROVED</v>
      </c>
      <c r="I126" s="18" t="s">
        <v>874</v>
      </c>
    </row>
    <row r="127" spans="1:9" x14ac:dyDescent="0.45">
      <c r="A127" s="5" t="s">
        <v>880</v>
      </c>
      <c r="B127" s="5" t="s">
        <v>609</v>
      </c>
      <c r="C127" s="5" t="s">
        <v>879</v>
      </c>
      <c r="D127" s="16">
        <f>DCF!M24</f>
        <v>69893.934953875854</v>
      </c>
      <c r="E127" s="5">
        <v>69893.934953875854</v>
      </c>
      <c r="F127" s="16">
        <f t="shared" si="6"/>
        <v>0</v>
      </c>
      <c r="G127" s="5">
        <v>0.1</v>
      </c>
      <c r="H127" s="16" t="str">
        <f t="shared" si="8"/>
        <v>MATCHES APPROVED</v>
      </c>
      <c r="I127" s="18" t="s">
        <v>874</v>
      </c>
    </row>
    <row r="128" spans="1:9" x14ac:dyDescent="0.45">
      <c r="A128" s="5" t="s">
        <v>881</v>
      </c>
      <c r="B128" s="5" t="s">
        <v>609</v>
      </c>
      <c r="C128" s="5" t="s">
        <v>882</v>
      </c>
      <c r="D128" s="16">
        <f>DCF!M20</f>
        <v>4815.2741252490614</v>
      </c>
      <c r="E128" s="5">
        <v>4815.2741252490596</v>
      </c>
      <c r="F128" s="16">
        <f t="shared" si="6"/>
        <v>0</v>
      </c>
      <c r="G128" s="5">
        <v>0.1</v>
      </c>
      <c r="H128" s="16" t="str">
        <f t="shared" si="8"/>
        <v>MATCHES APPROVED</v>
      </c>
      <c r="I128" s="18" t="s">
        <v>874</v>
      </c>
    </row>
    <row r="129" spans="1:9" x14ac:dyDescent="0.45">
      <c r="A129" s="5" t="s">
        <v>883</v>
      </c>
      <c r="B129" s="5" t="s">
        <v>609</v>
      </c>
      <c r="C129" s="5" t="s">
        <v>884</v>
      </c>
      <c r="D129" s="16">
        <f>DCF!N26</f>
        <v>59.547616920146872</v>
      </c>
      <c r="E129" s="5">
        <v>59.547616920146908</v>
      </c>
      <c r="F129" s="16">
        <f t="shared" si="6"/>
        <v>0</v>
      </c>
      <c r="G129" s="5">
        <v>0.01</v>
      </c>
      <c r="H129" s="16" t="str">
        <f t="shared" si="8"/>
        <v>MATCHES APPROVED</v>
      </c>
      <c r="I129" s="18" t="s">
        <v>874</v>
      </c>
    </row>
    <row r="130" spans="1:9" x14ac:dyDescent="0.45">
      <c r="A130" s="5" t="s">
        <v>885</v>
      </c>
      <c r="B130" s="5" t="s">
        <v>609</v>
      </c>
      <c r="C130" s="5" t="s">
        <v>884</v>
      </c>
      <c r="D130" s="16">
        <f>DCF!N24</f>
        <v>87325.569608082937</v>
      </c>
      <c r="E130" s="5">
        <v>87325.56960808298</v>
      </c>
      <c r="F130" s="16">
        <f t="shared" si="6"/>
        <v>0</v>
      </c>
      <c r="G130" s="5">
        <v>0.1</v>
      </c>
      <c r="H130" s="16" t="str">
        <f t="shared" si="8"/>
        <v>MATCHES APPROVED</v>
      </c>
      <c r="I130" s="18" t="s">
        <v>874</v>
      </c>
    </row>
    <row r="131" spans="1:9" x14ac:dyDescent="0.45">
      <c r="A131" s="5" t="s">
        <v>886</v>
      </c>
      <c r="B131" s="5" t="s">
        <v>609</v>
      </c>
      <c r="C131" s="5" t="s">
        <v>887</v>
      </c>
      <c r="D131" s="16">
        <f>DCF!N20</f>
        <v>6085.1612089827058</v>
      </c>
      <c r="E131" s="5">
        <v>6085.1612089827058</v>
      </c>
      <c r="F131" s="16">
        <f t="shared" si="6"/>
        <v>0</v>
      </c>
      <c r="G131" s="5">
        <v>0.1</v>
      </c>
      <c r="H131" s="16" t="str">
        <f t="shared" si="8"/>
        <v>MATCHES APPROVED</v>
      </c>
      <c r="I131" s="18" t="s">
        <v>874</v>
      </c>
    </row>
    <row r="132" spans="1:9" x14ac:dyDescent="0.45">
      <c r="A132" s="5" t="s">
        <v>888</v>
      </c>
      <c r="B132" s="5" t="s">
        <v>608</v>
      </c>
      <c r="C132" s="5" t="s">
        <v>889</v>
      </c>
      <c r="D132" s="16">
        <f>--AND(DCF!L26&lt;DCF!M26,DCF!M26&lt;DCF!N26)</f>
        <v>1</v>
      </c>
      <c r="E132" s="5">
        <v>1</v>
      </c>
      <c r="F132" s="16">
        <f t="shared" si="6"/>
        <v>0</v>
      </c>
      <c r="G132" s="5">
        <v>0</v>
      </c>
      <c r="H132" s="16" t="str">
        <f>IF(AND(ISNUMBER(D132),ISNUMBER(E132),ISNUMBER(F132),ISNUMBER(G132)),IF(ABS(F132)&lt;=G132,"PASS","FAIL"),"UNVERIFIED")</f>
        <v>PASS</v>
      </c>
      <c r="I132" s="18" t="s">
        <v>890</v>
      </c>
    </row>
    <row r="133" spans="1:9" x14ac:dyDescent="0.45">
      <c r="A133" s="5" t="s">
        <v>891</v>
      </c>
      <c r="B133" s="5" t="s">
        <v>608</v>
      </c>
      <c r="C133" s="5" t="s">
        <v>892</v>
      </c>
      <c r="D133" s="16">
        <f>Sensitivity!D9</f>
        <v>49.755123462165336</v>
      </c>
      <c r="E133" s="16">
        <f>(SUMPRODUCT(Scenarios!$E$52:$I$52,1/(1+Sensitivity!$C$9)^((DCF!$E$12:$I$12-ModelDate)/365))+((((Scenarios!$I$35*(1+Sensitivity!$D$8))*(Scenarios!$I$36-Scenarios!$I$38))-MAX(((Scenarios!$I$35*(1+Sensitivity!$D$8))*(Scenarios!$I$36-Scenarios!$I$38)),0)*Scenarios!$I$42+(Scenarios!$I$35*(1+Sensitivity!$D$8))*Scenarios!$I$45-(Scenarios!$I$35*(1+Sensitivity!$D$8))*Scenarios!$I$47-((Scenarios!$I$35*(1+Sensitivity!$D$8))*Scenarios!$I$49-Scenarios!$I$50))/(Sensitivity!$C$9-Sensitivity!$D$8))/(1+Sensitivity!$C$9)^((DATE(2031,5,31)-ModelDate)/365)+CashAndShortTermInvestments-CarryingDebt-RedeemablePreferredStock)/DilutedProxyShares</f>
        <v>49.755123462165344</v>
      </c>
      <c r="F133" s="16">
        <f t="shared" si="6"/>
        <v>0</v>
      </c>
      <c r="G133" s="5">
        <v>1.0000000000000001E-9</v>
      </c>
      <c r="H133" s="16" t="str">
        <f>IF(AND(ISNUMBER(D133),ISNUMBER(E133),ISNUMBER(F133),ISNUMBER(G133)),IF(ABS(F133)&lt;=G133,"PASS","FAIL"),"UNVERIFIED")</f>
        <v>PASS</v>
      </c>
      <c r="I133" s="18" t="s">
        <v>893</v>
      </c>
    </row>
    <row r="134" spans="1:9" x14ac:dyDescent="0.45">
      <c r="A134" s="5" t="s">
        <v>894</v>
      </c>
      <c r="B134" s="5" t="s">
        <v>609</v>
      </c>
      <c r="C134" s="5" t="s">
        <v>892</v>
      </c>
      <c r="D134" s="16">
        <f>Sensitivity!D9</f>
        <v>49.755123462165336</v>
      </c>
      <c r="E134" s="5">
        <v>49.755123462165358</v>
      </c>
      <c r="F134" s="16">
        <f t="shared" si="6"/>
        <v>0</v>
      </c>
      <c r="G134" s="5">
        <v>0.01</v>
      </c>
      <c r="H134" s="16" t="str">
        <f>IF(AND(ISNUMBER(D134),ISNUMBER(E134),ISNUMBER(F134),ISNUMBER(G134)),IF(ABS(F134)&lt;=G134,"MATCHES APPROVED","DIFFERS FROM APPROVED"),"UNVERIFIED")</f>
        <v>MATCHES APPROVED</v>
      </c>
      <c r="I134" s="18" t="s">
        <v>895</v>
      </c>
    </row>
    <row r="135" spans="1:9" x14ac:dyDescent="0.45">
      <c r="A135" s="5" t="s">
        <v>896</v>
      </c>
      <c r="B135" s="5" t="s">
        <v>608</v>
      </c>
      <c r="C135" s="5" t="s">
        <v>892</v>
      </c>
      <c r="D135" s="16">
        <f>Sensitivity!E9</f>
        <v>53.248759339077942</v>
      </c>
      <c r="E135" s="16">
        <f>(SUMPRODUCT(Scenarios!$E$52:$I$52,1/(1+Sensitivity!$C$9)^((DCF!$E$12:$I$12-ModelDate)/365))+((((Scenarios!$I$35*(1+Sensitivity!$E$8))*(Scenarios!$I$36-Scenarios!$I$38))-MAX(((Scenarios!$I$35*(1+Sensitivity!$E$8))*(Scenarios!$I$36-Scenarios!$I$38)),0)*Scenarios!$I$42+(Scenarios!$I$35*(1+Sensitivity!$E$8))*Scenarios!$I$45-(Scenarios!$I$35*(1+Sensitivity!$E$8))*Scenarios!$I$47-((Scenarios!$I$35*(1+Sensitivity!$E$8))*Scenarios!$I$49-Scenarios!$I$50))/(Sensitivity!$C$9-Sensitivity!$E$8))/(1+Sensitivity!$C$9)^((DATE(2031,5,31)-ModelDate)/365)+CashAndShortTermInvestments-CarryingDebt-RedeemablePreferredStock)/DilutedProxyShares</f>
        <v>53.248759339077921</v>
      </c>
      <c r="F135" s="16">
        <f t="shared" si="6"/>
        <v>0</v>
      </c>
      <c r="G135" s="5">
        <v>1.0000000000000001E-9</v>
      </c>
      <c r="H135" s="16" t="str">
        <f>IF(AND(ISNUMBER(D135),ISNUMBER(E135),ISNUMBER(F135),ISNUMBER(G135)),IF(ABS(F135)&lt;=G135,"PASS","FAIL"),"UNVERIFIED")</f>
        <v>PASS</v>
      </c>
      <c r="I135" s="18" t="s">
        <v>897</v>
      </c>
    </row>
    <row r="136" spans="1:9" x14ac:dyDescent="0.45">
      <c r="A136" s="5" t="s">
        <v>898</v>
      </c>
      <c r="B136" s="5" t="s">
        <v>609</v>
      </c>
      <c r="C136" s="5" t="s">
        <v>892</v>
      </c>
      <c r="D136" s="16">
        <f>Sensitivity!E9</f>
        <v>53.248759339077942</v>
      </c>
      <c r="E136" s="5">
        <v>53.248759339077942</v>
      </c>
      <c r="F136" s="16">
        <f t="shared" si="6"/>
        <v>0</v>
      </c>
      <c r="G136" s="5">
        <v>0.01</v>
      </c>
      <c r="H136" s="16" t="str">
        <f>IF(AND(ISNUMBER(D136),ISNUMBER(E136),ISNUMBER(F136),ISNUMBER(G136)),IF(ABS(F136)&lt;=G136,"MATCHES APPROVED","DIFFERS FROM APPROVED"),"UNVERIFIED")</f>
        <v>MATCHES APPROVED</v>
      </c>
      <c r="I136" s="18" t="s">
        <v>899</v>
      </c>
    </row>
    <row r="137" spans="1:9" x14ac:dyDescent="0.45">
      <c r="A137" s="5" t="s">
        <v>900</v>
      </c>
      <c r="B137" s="5" t="s">
        <v>608</v>
      </c>
      <c r="C137" s="5" t="s">
        <v>892</v>
      </c>
      <c r="D137" s="16">
        <f>Sensitivity!F9</f>
        <v>57.442881476631882</v>
      </c>
      <c r="E137" s="16">
        <f>(SUMPRODUCT(Scenarios!$E$52:$I$52,1/(1+Sensitivity!$C$9)^((DCF!$E$12:$I$12-ModelDate)/365))+((((Scenarios!$I$35*(1+Sensitivity!$F$8))*(Scenarios!$I$36-Scenarios!$I$38))-MAX(((Scenarios!$I$35*(1+Sensitivity!$F$8))*(Scenarios!$I$36-Scenarios!$I$38)),0)*Scenarios!$I$42+(Scenarios!$I$35*(1+Sensitivity!$F$8))*Scenarios!$I$45-(Scenarios!$I$35*(1+Sensitivity!$F$8))*Scenarios!$I$47-((Scenarios!$I$35*(1+Sensitivity!$F$8))*Scenarios!$I$49-Scenarios!$I$50))/(Sensitivity!$C$9-Sensitivity!$F$8))/(1+Sensitivity!$C$9)^((DATE(2031,5,31)-ModelDate)/365)+CashAndShortTermInvestments-CarryingDebt-RedeemablePreferredStock)/DilutedProxyShares</f>
        <v>57.442881476631875</v>
      </c>
      <c r="F137" s="16">
        <f t="shared" ref="F137:F168" si="9">D137-E137</f>
        <v>0</v>
      </c>
      <c r="G137" s="5">
        <v>1.0000000000000001E-9</v>
      </c>
      <c r="H137" s="16" t="str">
        <f>IF(AND(ISNUMBER(D137),ISNUMBER(E137),ISNUMBER(F137),ISNUMBER(G137)),IF(ABS(F137)&lt;=G137,"PASS","FAIL"),"UNVERIFIED")</f>
        <v>PASS</v>
      </c>
      <c r="I137" s="18" t="s">
        <v>901</v>
      </c>
    </row>
    <row r="138" spans="1:9" x14ac:dyDescent="0.45">
      <c r="A138" s="5" t="s">
        <v>902</v>
      </c>
      <c r="B138" s="5" t="s">
        <v>609</v>
      </c>
      <c r="C138" s="5" t="s">
        <v>892</v>
      </c>
      <c r="D138" s="16">
        <f>Sensitivity!F9</f>
        <v>57.442881476631882</v>
      </c>
      <c r="E138" s="5">
        <v>57.442881476631889</v>
      </c>
      <c r="F138" s="16">
        <f t="shared" si="9"/>
        <v>0</v>
      </c>
      <c r="G138" s="5">
        <v>0.01</v>
      </c>
      <c r="H138" s="16" t="str">
        <f>IF(AND(ISNUMBER(D138),ISNUMBER(E138),ISNUMBER(F138),ISNUMBER(G138)),IF(ABS(F138)&lt;=G138,"MATCHES APPROVED","DIFFERS FROM APPROVED"),"UNVERIFIED")</f>
        <v>MATCHES APPROVED</v>
      </c>
      <c r="I138" s="18" t="s">
        <v>903</v>
      </c>
    </row>
    <row r="139" spans="1:9" x14ac:dyDescent="0.45">
      <c r="A139" s="5" t="s">
        <v>904</v>
      </c>
      <c r="B139" s="5" t="s">
        <v>608</v>
      </c>
      <c r="C139" s="5" t="s">
        <v>892</v>
      </c>
      <c r="D139" s="16">
        <f>Sensitivity!G9</f>
        <v>62.571638631077548</v>
      </c>
      <c r="E139" s="16">
        <f>(SUMPRODUCT(Scenarios!$E$52:$I$52,1/(1+Sensitivity!$C$9)^((DCF!$E$12:$I$12-ModelDate)/365))+((((Scenarios!$I$35*(1+Sensitivity!$G$8))*(Scenarios!$I$36-Scenarios!$I$38))-MAX(((Scenarios!$I$35*(1+Sensitivity!$G$8))*(Scenarios!$I$36-Scenarios!$I$38)),0)*Scenarios!$I$42+(Scenarios!$I$35*(1+Sensitivity!$G$8))*Scenarios!$I$45-(Scenarios!$I$35*(1+Sensitivity!$G$8))*Scenarios!$I$47-((Scenarios!$I$35*(1+Sensitivity!$G$8))*Scenarios!$I$49-Scenarios!$I$50))/(Sensitivity!$C$9-Sensitivity!$G$8))/(1+Sensitivity!$C$9)^((DATE(2031,5,31)-ModelDate)/365)+CashAndShortTermInvestments-CarryingDebt-RedeemablePreferredStock)/DilutedProxyShares</f>
        <v>62.571638631077555</v>
      </c>
      <c r="F139" s="16">
        <f t="shared" si="9"/>
        <v>0</v>
      </c>
      <c r="G139" s="5">
        <v>1.0000000000000001E-9</v>
      </c>
      <c r="H139" s="16" t="str">
        <f>IF(AND(ISNUMBER(D139),ISNUMBER(E139),ISNUMBER(F139),ISNUMBER(G139)),IF(ABS(F139)&lt;=G139,"PASS","FAIL"),"UNVERIFIED")</f>
        <v>PASS</v>
      </c>
      <c r="I139" s="18" t="s">
        <v>905</v>
      </c>
    </row>
    <row r="140" spans="1:9" x14ac:dyDescent="0.45">
      <c r="A140" s="5" t="s">
        <v>906</v>
      </c>
      <c r="B140" s="5" t="s">
        <v>609</v>
      </c>
      <c r="C140" s="5" t="s">
        <v>892</v>
      </c>
      <c r="D140" s="16">
        <f>Sensitivity!G9</f>
        <v>62.571638631077548</v>
      </c>
      <c r="E140" s="5">
        <v>62.571638631077597</v>
      </c>
      <c r="F140" s="16">
        <f t="shared" si="9"/>
        <v>0</v>
      </c>
      <c r="G140" s="5">
        <v>0.01</v>
      </c>
      <c r="H140" s="16" t="str">
        <f>IF(AND(ISNUMBER(D140),ISNUMBER(E140),ISNUMBER(F140),ISNUMBER(G140)),IF(ABS(F140)&lt;=G140,"MATCHES APPROVED","DIFFERS FROM APPROVED"),"UNVERIFIED")</f>
        <v>MATCHES APPROVED</v>
      </c>
      <c r="I140" s="18" t="s">
        <v>907</v>
      </c>
    </row>
    <row r="141" spans="1:9" x14ac:dyDescent="0.45">
      <c r="A141" s="5" t="s">
        <v>908</v>
      </c>
      <c r="B141" s="5" t="s">
        <v>608</v>
      </c>
      <c r="C141" s="5" t="s">
        <v>892</v>
      </c>
      <c r="D141" s="16">
        <f>Sensitivity!H9</f>
        <v>68.986622595546947</v>
      </c>
      <c r="E141" s="16">
        <f>(SUMPRODUCT(Scenarios!$E$52:$I$52,1/(1+Sensitivity!$C$9)^((DCF!$E$12:$I$12-ModelDate)/365))+((((Scenarios!$I$35*(1+Sensitivity!$H$8))*(Scenarios!$I$36-Scenarios!$I$38))-MAX(((Scenarios!$I$35*(1+Sensitivity!$H$8))*(Scenarios!$I$36-Scenarios!$I$38)),0)*Scenarios!$I$42+(Scenarios!$I$35*(1+Sensitivity!$H$8))*Scenarios!$I$45-(Scenarios!$I$35*(1+Sensitivity!$H$8))*Scenarios!$I$47-((Scenarios!$I$35*(1+Sensitivity!$H$8))*Scenarios!$I$49-Scenarios!$I$50))/(Sensitivity!$C$9-Sensitivity!$H$8))/(1+Sensitivity!$C$9)^((DATE(2031,5,31)-ModelDate)/365)+CashAndShortTermInvestments-CarryingDebt-RedeemablePreferredStock)/DilutedProxyShares</f>
        <v>68.986622595546947</v>
      </c>
      <c r="F141" s="16">
        <f t="shared" si="9"/>
        <v>0</v>
      </c>
      <c r="G141" s="5">
        <v>1.0000000000000001E-9</v>
      </c>
      <c r="H141" s="16" t="str">
        <f>IF(AND(ISNUMBER(D141),ISNUMBER(E141),ISNUMBER(F141),ISNUMBER(G141)),IF(ABS(F141)&lt;=G141,"PASS","FAIL"),"UNVERIFIED")</f>
        <v>PASS</v>
      </c>
      <c r="I141" s="18" t="s">
        <v>909</v>
      </c>
    </row>
    <row r="142" spans="1:9" x14ac:dyDescent="0.45">
      <c r="A142" s="5" t="s">
        <v>910</v>
      </c>
      <c r="B142" s="5" t="s">
        <v>609</v>
      </c>
      <c r="C142" s="5" t="s">
        <v>892</v>
      </c>
      <c r="D142" s="16">
        <f>Sensitivity!H9</f>
        <v>68.986622595546947</v>
      </c>
      <c r="E142" s="5">
        <v>68.986622595546976</v>
      </c>
      <c r="F142" s="16">
        <f t="shared" si="9"/>
        <v>0</v>
      </c>
      <c r="G142" s="5">
        <v>0.01</v>
      </c>
      <c r="H142" s="16" t="str">
        <f>IF(AND(ISNUMBER(D142),ISNUMBER(E142),ISNUMBER(F142),ISNUMBER(G142)),IF(ABS(F142)&lt;=G142,"MATCHES APPROVED","DIFFERS FROM APPROVED"),"UNVERIFIED")</f>
        <v>MATCHES APPROVED</v>
      </c>
      <c r="I142" s="18" t="s">
        <v>911</v>
      </c>
    </row>
    <row r="143" spans="1:9" x14ac:dyDescent="0.45">
      <c r="A143" s="5" t="s">
        <v>912</v>
      </c>
      <c r="B143" s="5" t="s">
        <v>608</v>
      </c>
      <c r="C143" s="5" t="s">
        <v>892</v>
      </c>
      <c r="D143" s="16">
        <f>Sensitivity!D10</f>
        <v>45.878408614111976</v>
      </c>
      <c r="E143" s="16">
        <f>(SUMPRODUCT(Scenarios!$E$52:$I$52,1/(1+Sensitivity!$C$10)^((DCF!$E$12:$I$12-ModelDate)/365))+((((Scenarios!$I$35*(1+Sensitivity!$D$8))*(Scenarios!$I$36-Scenarios!$I$38))-MAX(((Scenarios!$I$35*(1+Sensitivity!$D$8))*(Scenarios!$I$36-Scenarios!$I$38)),0)*Scenarios!$I$42+(Scenarios!$I$35*(1+Sensitivity!$D$8))*Scenarios!$I$45-(Scenarios!$I$35*(1+Sensitivity!$D$8))*Scenarios!$I$47-((Scenarios!$I$35*(1+Sensitivity!$D$8))*Scenarios!$I$49-Scenarios!$I$50))/(Sensitivity!$C$10-Sensitivity!$D$8))/(1+Sensitivity!$C$10)^((DATE(2031,5,31)-ModelDate)/365)+CashAndShortTermInvestments-CarryingDebt-RedeemablePreferredStock)/DilutedProxyShares</f>
        <v>45.878408614111976</v>
      </c>
      <c r="F143" s="16">
        <f t="shared" si="9"/>
        <v>0</v>
      </c>
      <c r="G143" s="5">
        <v>1.0000000000000001E-9</v>
      </c>
      <c r="H143" s="16" t="str">
        <f>IF(AND(ISNUMBER(D143),ISNUMBER(E143),ISNUMBER(F143),ISNUMBER(G143)),IF(ABS(F143)&lt;=G143,"PASS","FAIL"),"UNVERIFIED")</f>
        <v>PASS</v>
      </c>
      <c r="I143" s="18" t="s">
        <v>913</v>
      </c>
    </row>
    <row r="144" spans="1:9" x14ac:dyDescent="0.45">
      <c r="A144" s="5" t="s">
        <v>914</v>
      </c>
      <c r="B144" s="5" t="s">
        <v>609</v>
      </c>
      <c r="C144" s="5" t="s">
        <v>892</v>
      </c>
      <c r="D144" s="16">
        <f>Sensitivity!D10</f>
        <v>45.878408614111976</v>
      </c>
      <c r="E144" s="5">
        <v>45.878408614111983</v>
      </c>
      <c r="F144" s="16">
        <f t="shared" si="9"/>
        <v>0</v>
      </c>
      <c r="G144" s="5">
        <v>0.01</v>
      </c>
      <c r="H144" s="16" t="str">
        <f>IF(AND(ISNUMBER(D144),ISNUMBER(E144),ISNUMBER(F144),ISNUMBER(G144)),IF(ABS(F144)&lt;=G144,"MATCHES APPROVED","DIFFERS FROM APPROVED"),"UNVERIFIED")</f>
        <v>MATCHES APPROVED</v>
      </c>
      <c r="I144" s="18" t="s">
        <v>915</v>
      </c>
    </row>
    <row r="145" spans="1:9" x14ac:dyDescent="0.45">
      <c r="A145" s="5" t="s">
        <v>916</v>
      </c>
      <c r="B145" s="5" t="s">
        <v>608</v>
      </c>
      <c r="C145" s="5" t="s">
        <v>892</v>
      </c>
      <c r="D145" s="16">
        <f>Sensitivity!E10</f>
        <v>48.768268631617339</v>
      </c>
      <c r="E145" s="16">
        <f>(SUMPRODUCT(Scenarios!$E$52:$I$52,1/(1+Sensitivity!$C$10)^((DCF!$E$12:$I$12-ModelDate)/365))+((((Scenarios!$I$35*(1+Sensitivity!$E$8))*(Scenarios!$I$36-Scenarios!$I$38))-MAX(((Scenarios!$I$35*(1+Sensitivity!$E$8))*(Scenarios!$I$36-Scenarios!$I$38)),0)*Scenarios!$I$42+(Scenarios!$I$35*(1+Sensitivity!$E$8))*Scenarios!$I$45-(Scenarios!$I$35*(1+Sensitivity!$E$8))*Scenarios!$I$47-((Scenarios!$I$35*(1+Sensitivity!$E$8))*Scenarios!$I$49-Scenarios!$I$50))/(Sensitivity!$C$10-Sensitivity!$E$8))/(1+Sensitivity!$C$10)^((DATE(2031,5,31)-ModelDate)/365)+CashAndShortTermInvestments-CarryingDebt-RedeemablePreferredStock)/DilutedProxyShares</f>
        <v>48.768268631617325</v>
      </c>
      <c r="F145" s="16">
        <f t="shared" si="9"/>
        <v>0</v>
      </c>
      <c r="G145" s="5">
        <v>1.0000000000000001E-9</v>
      </c>
      <c r="H145" s="16" t="str">
        <f>IF(AND(ISNUMBER(D145),ISNUMBER(E145),ISNUMBER(F145),ISNUMBER(G145)),IF(ABS(F145)&lt;=G145,"PASS","FAIL"),"UNVERIFIED")</f>
        <v>PASS</v>
      </c>
      <c r="I145" s="18" t="s">
        <v>917</v>
      </c>
    </row>
    <row r="146" spans="1:9" x14ac:dyDescent="0.45">
      <c r="A146" s="5" t="s">
        <v>918</v>
      </c>
      <c r="B146" s="5" t="s">
        <v>609</v>
      </c>
      <c r="C146" s="5" t="s">
        <v>892</v>
      </c>
      <c r="D146" s="16">
        <f>Sensitivity!E10</f>
        <v>48.768268631617339</v>
      </c>
      <c r="E146" s="5">
        <v>48.768268631617318</v>
      </c>
      <c r="F146" s="16">
        <f t="shared" si="9"/>
        <v>0</v>
      </c>
      <c r="G146" s="5">
        <v>0.01</v>
      </c>
      <c r="H146" s="16" t="str">
        <f>IF(AND(ISNUMBER(D146),ISNUMBER(E146),ISNUMBER(F146),ISNUMBER(G146)),IF(ABS(F146)&lt;=G146,"MATCHES APPROVED","DIFFERS FROM APPROVED"),"UNVERIFIED")</f>
        <v>MATCHES APPROVED</v>
      </c>
      <c r="I146" s="18" t="s">
        <v>919</v>
      </c>
    </row>
    <row r="147" spans="1:9" x14ac:dyDescent="0.45">
      <c r="A147" s="5" t="s">
        <v>920</v>
      </c>
      <c r="B147" s="5" t="s">
        <v>608</v>
      </c>
      <c r="C147" s="5" t="s">
        <v>892</v>
      </c>
      <c r="D147" s="16">
        <f>Sensitivity!F10</f>
        <v>52.184760011251932</v>
      </c>
      <c r="E147" s="16">
        <f>(SUMPRODUCT(Scenarios!$E$52:$I$52,1/(1+Sensitivity!$C$10)^((DCF!$E$12:$I$12-ModelDate)/365))+((((Scenarios!$I$35*(1+Sensitivity!$F$8))*(Scenarios!$I$36-Scenarios!$I$38))-MAX(((Scenarios!$I$35*(1+Sensitivity!$F$8))*(Scenarios!$I$36-Scenarios!$I$38)),0)*Scenarios!$I$42+(Scenarios!$I$35*(1+Sensitivity!$F$8))*Scenarios!$I$45-(Scenarios!$I$35*(1+Sensitivity!$F$8))*Scenarios!$I$47-((Scenarios!$I$35*(1+Sensitivity!$F$8))*Scenarios!$I$49-Scenarios!$I$50))/(Sensitivity!$C$10-Sensitivity!$F$8))/(1+Sensitivity!$C$10)^((DATE(2031,5,31)-ModelDate)/365)+CashAndShortTermInvestments-CarryingDebt-RedeemablePreferredStock)/DilutedProxyShares</f>
        <v>52.184760011251932</v>
      </c>
      <c r="F147" s="16">
        <f t="shared" si="9"/>
        <v>0</v>
      </c>
      <c r="G147" s="5">
        <v>1.0000000000000001E-9</v>
      </c>
      <c r="H147" s="16" t="str">
        <f>IF(AND(ISNUMBER(D147),ISNUMBER(E147),ISNUMBER(F147),ISNUMBER(G147)),IF(ABS(F147)&lt;=G147,"PASS","FAIL"),"UNVERIFIED")</f>
        <v>PASS</v>
      </c>
      <c r="I147" s="18" t="s">
        <v>921</v>
      </c>
    </row>
    <row r="148" spans="1:9" x14ac:dyDescent="0.45">
      <c r="A148" s="5" t="s">
        <v>922</v>
      </c>
      <c r="B148" s="5" t="s">
        <v>609</v>
      </c>
      <c r="C148" s="5" t="s">
        <v>892</v>
      </c>
      <c r="D148" s="16">
        <f>Sensitivity!F10</f>
        <v>52.184760011251932</v>
      </c>
      <c r="E148" s="5">
        <v>52.184760011251917</v>
      </c>
      <c r="F148" s="16">
        <f t="shared" si="9"/>
        <v>0</v>
      </c>
      <c r="G148" s="5">
        <v>0.01</v>
      </c>
      <c r="H148" s="16" t="str">
        <f>IF(AND(ISNUMBER(D148),ISNUMBER(E148),ISNUMBER(F148),ISNUMBER(G148)),IF(ABS(F148)&lt;=G148,"MATCHES APPROVED","DIFFERS FROM APPROVED"),"UNVERIFIED")</f>
        <v>MATCHES APPROVED</v>
      </c>
      <c r="I148" s="18" t="s">
        <v>923</v>
      </c>
    </row>
    <row r="149" spans="1:9" x14ac:dyDescent="0.45">
      <c r="A149" s="5" t="s">
        <v>924</v>
      </c>
      <c r="B149" s="5" t="s">
        <v>608</v>
      </c>
      <c r="C149" s="5" t="s">
        <v>892</v>
      </c>
      <c r="D149" s="16">
        <f>Sensitivity!G10</f>
        <v>56.286269908943595</v>
      </c>
      <c r="E149" s="16">
        <f>(SUMPRODUCT(Scenarios!$E$52:$I$52,1/(1+Sensitivity!$C$10)^((DCF!$E$12:$I$12-ModelDate)/365))+((((Scenarios!$I$35*(1+Sensitivity!$G$8))*(Scenarios!$I$36-Scenarios!$I$38))-MAX(((Scenarios!$I$35*(1+Sensitivity!$G$8))*(Scenarios!$I$36-Scenarios!$I$38)),0)*Scenarios!$I$42+(Scenarios!$I$35*(1+Sensitivity!$G$8))*Scenarios!$I$45-(Scenarios!$I$35*(1+Sensitivity!$G$8))*Scenarios!$I$47-((Scenarios!$I$35*(1+Sensitivity!$G$8))*Scenarios!$I$49-Scenarios!$I$50))/(Sensitivity!$C$10-Sensitivity!$G$8))/(1+Sensitivity!$C$10)^((DATE(2031,5,31)-ModelDate)/365)+CashAndShortTermInvestments-CarryingDebt-RedeemablePreferredStock)/DilutedProxyShares</f>
        <v>56.286269908943602</v>
      </c>
      <c r="F149" s="16">
        <f t="shared" si="9"/>
        <v>0</v>
      </c>
      <c r="G149" s="5">
        <v>1.0000000000000001E-9</v>
      </c>
      <c r="H149" s="16" t="str">
        <f>IF(AND(ISNUMBER(D149),ISNUMBER(E149),ISNUMBER(F149),ISNUMBER(G149)),IF(ABS(F149)&lt;=G149,"PASS","FAIL"),"UNVERIFIED")</f>
        <v>PASS</v>
      </c>
      <c r="I149" s="18" t="s">
        <v>925</v>
      </c>
    </row>
    <row r="150" spans="1:9" x14ac:dyDescent="0.45">
      <c r="A150" s="5" t="s">
        <v>926</v>
      </c>
      <c r="B150" s="5" t="s">
        <v>609</v>
      </c>
      <c r="C150" s="5" t="s">
        <v>892</v>
      </c>
      <c r="D150" s="16">
        <f>Sensitivity!G10</f>
        <v>56.286269908943595</v>
      </c>
      <c r="E150" s="5">
        <v>56.286269908943609</v>
      </c>
      <c r="F150" s="16">
        <f t="shared" si="9"/>
        <v>0</v>
      </c>
      <c r="G150" s="5">
        <v>0.01</v>
      </c>
      <c r="H150" s="16" t="str">
        <f>IF(AND(ISNUMBER(D150),ISNUMBER(E150),ISNUMBER(F150),ISNUMBER(G150)),IF(ABS(F150)&lt;=G150,"MATCHES APPROVED","DIFFERS FROM APPROVED"),"UNVERIFIED")</f>
        <v>MATCHES APPROVED</v>
      </c>
      <c r="I150" s="18" t="s">
        <v>927</v>
      </c>
    </row>
    <row r="151" spans="1:9" x14ac:dyDescent="0.45">
      <c r="A151" s="5" t="s">
        <v>928</v>
      </c>
      <c r="B151" s="5" t="s">
        <v>608</v>
      </c>
      <c r="C151" s="5" t="s">
        <v>892</v>
      </c>
      <c r="D151" s="16">
        <f>Sensitivity!H10</f>
        <v>61.301776740150089</v>
      </c>
      <c r="E151" s="16">
        <f>(SUMPRODUCT(Scenarios!$E$52:$I$52,1/(1+Sensitivity!$C$10)^((DCF!$E$12:$I$12-ModelDate)/365))+((((Scenarios!$I$35*(1+Sensitivity!$H$8))*(Scenarios!$I$36-Scenarios!$I$38))-MAX(((Scenarios!$I$35*(1+Sensitivity!$H$8))*(Scenarios!$I$36-Scenarios!$I$38)),0)*Scenarios!$I$42+(Scenarios!$I$35*(1+Sensitivity!$H$8))*Scenarios!$I$45-(Scenarios!$I$35*(1+Sensitivity!$H$8))*Scenarios!$I$47-((Scenarios!$I$35*(1+Sensitivity!$H$8))*Scenarios!$I$49-Scenarios!$I$50))/(Sensitivity!$C$10-Sensitivity!$H$8))/(1+Sensitivity!$C$10)^((DATE(2031,5,31)-ModelDate)/365)+CashAndShortTermInvestments-CarryingDebt-RedeemablePreferredStock)/DilutedProxyShares</f>
        <v>61.301776740150089</v>
      </c>
      <c r="F151" s="16">
        <f t="shared" si="9"/>
        <v>0</v>
      </c>
      <c r="G151" s="5">
        <v>1.0000000000000001E-9</v>
      </c>
      <c r="H151" s="16" t="str">
        <f>IF(AND(ISNUMBER(D151),ISNUMBER(E151),ISNUMBER(F151),ISNUMBER(G151)),IF(ABS(F151)&lt;=G151,"PASS","FAIL"),"UNVERIFIED")</f>
        <v>PASS</v>
      </c>
      <c r="I151" s="18" t="s">
        <v>929</v>
      </c>
    </row>
    <row r="152" spans="1:9" x14ac:dyDescent="0.45">
      <c r="A152" s="5" t="s">
        <v>930</v>
      </c>
      <c r="B152" s="5" t="s">
        <v>609</v>
      </c>
      <c r="C152" s="5" t="s">
        <v>892</v>
      </c>
      <c r="D152" s="16">
        <f>Sensitivity!H10</f>
        <v>61.301776740150089</v>
      </c>
      <c r="E152" s="5">
        <v>61.301776740150082</v>
      </c>
      <c r="F152" s="16">
        <f t="shared" si="9"/>
        <v>0</v>
      </c>
      <c r="G152" s="5">
        <v>0.01</v>
      </c>
      <c r="H152" s="16" t="str">
        <f>IF(AND(ISNUMBER(D152),ISNUMBER(E152),ISNUMBER(F152),ISNUMBER(G152)),IF(ABS(F152)&lt;=G152,"MATCHES APPROVED","DIFFERS FROM APPROVED"),"UNVERIFIED")</f>
        <v>MATCHES APPROVED</v>
      </c>
      <c r="I152" s="18" t="s">
        <v>931</v>
      </c>
    </row>
    <row r="153" spans="1:9" x14ac:dyDescent="0.45">
      <c r="A153" s="5" t="s">
        <v>932</v>
      </c>
      <c r="B153" s="5" t="s">
        <v>608</v>
      </c>
      <c r="C153" s="5" t="s">
        <v>892</v>
      </c>
      <c r="D153" s="16">
        <f>Sensitivity!D11</f>
        <v>42.558578644478295</v>
      </c>
      <c r="E153" s="16">
        <f>(SUMPRODUCT(Scenarios!$E$52:$I$52,1/(1+Sensitivity!$C$11)^((DCF!$E$12:$I$12-ModelDate)/365))+((((Scenarios!$I$35*(1+Sensitivity!$D$8))*(Scenarios!$I$36-Scenarios!$I$38))-MAX(((Scenarios!$I$35*(1+Sensitivity!$D$8))*(Scenarios!$I$36-Scenarios!$I$38)),0)*Scenarios!$I$42+(Scenarios!$I$35*(1+Sensitivity!$D$8))*Scenarios!$I$45-(Scenarios!$I$35*(1+Sensitivity!$D$8))*Scenarios!$I$47-((Scenarios!$I$35*(1+Sensitivity!$D$8))*Scenarios!$I$49-Scenarios!$I$50))/(Sensitivity!$C$11-Sensitivity!$D$8))/(1+Sensitivity!$C$11)^((DATE(2031,5,31)-ModelDate)/365)+CashAndShortTermInvestments-CarryingDebt-RedeemablePreferredStock)/DilutedProxyShares</f>
        <v>42.558578644478303</v>
      </c>
      <c r="F153" s="16">
        <f t="shared" si="9"/>
        <v>0</v>
      </c>
      <c r="G153" s="5">
        <v>1.0000000000000001E-9</v>
      </c>
      <c r="H153" s="16" t="str">
        <f>IF(AND(ISNUMBER(D153),ISNUMBER(E153),ISNUMBER(F153),ISNUMBER(G153)),IF(ABS(F153)&lt;=G153,"PASS","FAIL"),"UNVERIFIED")</f>
        <v>PASS</v>
      </c>
      <c r="I153" s="18" t="s">
        <v>933</v>
      </c>
    </row>
    <row r="154" spans="1:9" x14ac:dyDescent="0.45">
      <c r="A154" s="5" t="s">
        <v>934</v>
      </c>
      <c r="B154" s="5" t="s">
        <v>609</v>
      </c>
      <c r="C154" s="5" t="s">
        <v>892</v>
      </c>
      <c r="D154" s="16">
        <f>Sensitivity!D11</f>
        <v>42.558578644478295</v>
      </c>
      <c r="E154" s="5">
        <v>42.558578644478317</v>
      </c>
      <c r="F154" s="16">
        <f t="shared" si="9"/>
        <v>0</v>
      </c>
      <c r="G154" s="5">
        <v>0.01</v>
      </c>
      <c r="H154" s="16" t="str">
        <f>IF(AND(ISNUMBER(D154),ISNUMBER(E154),ISNUMBER(F154),ISNUMBER(G154)),IF(ABS(F154)&lt;=G154,"MATCHES APPROVED","DIFFERS FROM APPROVED"),"UNVERIFIED")</f>
        <v>MATCHES APPROVED</v>
      </c>
      <c r="I154" s="18" t="s">
        <v>935</v>
      </c>
    </row>
    <row r="155" spans="1:9" x14ac:dyDescent="0.45">
      <c r="A155" s="5" t="s">
        <v>936</v>
      </c>
      <c r="B155" s="5" t="s">
        <v>608</v>
      </c>
      <c r="C155" s="5" t="s">
        <v>892</v>
      </c>
      <c r="D155" s="16">
        <f>Sensitivity!E11</f>
        <v>44.98042563536837</v>
      </c>
      <c r="E155" s="16">
        <f>(SUMPRODUCT(Scenarios!$E$52:$I$52,1/(1+Sensitivity!$C$11)^((DCF!$E$12:$I$12-ModelDate)/365))+((((Scenarios!$I$35*(1+Sensitivity!$E$8))*(Scenarios!$I$36-Scenarios!$I$38))-MAX(((Scenarios!$I$35*(1+Sensitivity!$E$8))*(Scenarios!$I$36-Scenarios!$I$38)),0)*Scenarios!$I$42+(Scenarios!$I$35*(1+Sensitivity!$E$8))*Scenarios!$I$45-(Scenarios!$I$35*(1+Sensitivity!$E$8))*Scenarios!$I$47-((Scenarios!$I$35*(1+Sensitivity!$E$8))*Scenarios!$I$49-Scenarios!$I$50))/(Sensitivity!$C$11-Sensitivity!$E$8))/(1+Sensitivity!$C$11)^((DATE(2031,5,31)-ModelDate)/365)+CashAndShortTermInvestments-CarryingDebt-RedeemablePreferredStock)/DilutedProxyShares</f>
        <v>44.980425635368348</v>
      </c>
      <c r="F155" s="16">
        <f t="shared" si="9"/>
        <v>0</v>
      </c>
      <c r="G155" s="5">
        <v>1.0000000000000001E-9</v>
      </c>
      <c r="H155" s="16" t="str">
        <f>IF(AND(ISNUMBER(D155),ISNUMBER(E155),ISNUMBER(F155),ISNUMBER(G155)),IF(ABS(F155)&lt;=G155,"PASS","FAIL"),"UNVERIFIED")</f>
        <v>PASS</v>
      </c>
      <c r="I155" s="18" t="s">
        <v>937</v>
      </c>
    </row>
    <row r="156" spans="1:9" x14ac:dyDescent="0.45">
      <c r="A156" s="5" t="s">
        <v>938</v>
      </c>
      <c r="B156" s="5" t="s">
        <v>609</v>
      </c>
      <c r="C156" s="5" t="s">
        <v>892</v>
      </c>
      <c r="D156" s="16">
        <f>Sensitivity!E11</f>
        <v>44.98042563536837</v>
      </c>
      <c r="E156" s="5">
        <v>44.980425635368377</v>
      </c>
      <c r="F156" s="16">
        <f t="shared" si="9"/>
        <v>0</v>
      </c>
      <c r="G156" s="5">
        <v>0.01</v>
      </c>
      <c r="H156" s="16" t="str">
        <f>IF(AND(ISNUMBER(D156),ISNUMBER(E156),ISNUMBER(F156),ISNUMBER(G156)),IF(ABS(F156)&lt;=G156,"MATCHES APPROVED","DIFFERS FROM APPROVED"),"UNVERIFIED")</f>
        <v>MATCHES APPROVED</v>
      </c>
      <c r="I156" s="18" t="s">
        <v>939</v>
      </c>
    </row>
    <row r="157" spans="1:9" x14ac:dyDescent="0.45">
      <c r="A157" s="5" t="s">
        <v>940</v>
      </c>
      <c r="B157" s="5" t="s">
        <v>608</v>
      </c>
      <c r="C157" s="5" t="s">
        <v>892</v>
      </c>
      <c r="D157" s="16">
        <f>Sensitivity!F11</f>
        <v>47.80676026082299</v>
      </c>
      <c r="E157" s="16">
        <f>(SUMPRODUCT(Scenarios!$E$52:$I$52,1/(1+Sensitivity!$C$11)^((DCF!$E$12:$I$12-ModelDate)/365))+((((Scenarios!$I$35*(1+Sensitivity!$F$8))*(Scenarios!$I$36-Scenarios!$I$38))-MAX(((Scenarios!$I$35*(1+Sensitivity!$F$8))*(Scenarios!$I$36-Scenarios!$I$38)),0)*Scenarios!$I$42+(Scenarios!$I$35*(1+Sensitivity!$F$8))*Scenarios!$I$45-(Scenarios!$I$35*(1+Sensitivity!$F$8))*Scenarios!$I$47-((Scenarios!$I$35*(1+Sensitivity!$F$8))*Scenarios!$I$49-Scenarios!$I$50))/(Sensitivity!$C$11-Sensitivity!$F$8))/(1+Sensitivity!$C$11)^((DATE(2031,5,31)-ModelDate)/365)+CashAndShortTermInvestments-CarryingDebt-RedeemablePreferredStock)/DilutedProxyShares</f>
        <v>47.806760260822983</v>
      </c>
      <c r="F157" s="16">
        <f t="shared" si="9"/>
        <v>0</v>
      </c>
      <c r="G157" s="5">
        <v>1.0000000000000001E-9</v>
      </c>
      <c r="H157" s="16" t="str">
        <f>IF(AND(ISNUMBER(D157),ISNUMBER(E157),ISNUMBER(F157),ISNUMBER(G157)),IF(ABS(F157)&lt;=G157,"PASS","FAIL"),"UNVERIFIED")</f>
        <v>PASS</v>
      </c>
      <c r="I157" s="18" t="s">
        <v>941</v>
      </c>
    </row>
    <row r="158" spans="1:9" x14ac:dyDescent="0.45">
      <c r="A158" s="5" t="s">
        <v>942</v>
      </c>
      <c r="B158" s="5" t="s">
        <v>609</v>
      </c>
      <c r="C158" s="5" t="s">
        <v>892</v>
      </c>
      <c r="D158" s="16">
        <f>Sensitivity!F11</f>
        <v>47.80676026082299</v>
      </c>
      <c r="E158" s="5">
        <v>47.806760260822998</v>
      </c>
      <c r="F158" s="16">
        <f t="shared" si="9"/>
        <v>0</v>
      </c>
      <c r="G158" s="5">
        <v>0.01</v>
      </c>
      <c r="H158" s="16" t="str">
        <f>IF(AND(ISNUMBER(D158),ISNUMBER(E158),ISNUMBER(F158),ISNUMBER(G158)),IF(ABS(F158)&lt;=G158,"MATCHES APPROVED","DIFFERS FROM APPROVED"),"UNVERIFIED")</f>
        <v>MATCHES APPROVED</v>
      </c>
      <c r="I158" s="18" t="s">
        <v>943</v>
      </c>
    </row>
    <row r="159" spans="1:9" x14ac:dyDescent="0.45">
      <c r="A159" s="5" t="s">
        <v>944</v>
      </c>
      <c r="B159" s="5" t="s">
        <v>608</v>
      </c>
      <c r="C159" s="5" t="s">
        <v>892</v>
      </c>
      <c r="D159" s="16">
        <f>Sensitivity!G11</f>
        <v>51.148149748665404</v>
      </c>
      <c r="E159" s="16">
        <f>(SUMPRODUCT(Scenarios!$E$52:$I$52,1/(1+Sensitivity!$C$11)^((DCF!$E$12:$I$12-ModelDate)/365))+((((Scenarios!$I$35*(1+Sensitivity!$G$8))*(Scenarios!$I$36-Scenarios!$I$38))-MAX(((Scenarios!$I$35*(1+Sensitivity!$G$8))*(Scenarios!$I$36-Scenarios!$I$38)),0)*Scenarios!$I$42+(Scenarios!$I$35*(1+Sensitivity!$G$8))*Scenarios!$I$45-(Scenarios!$I$35*(1+Sensitivity!$G$8))*Scenarios!$I$47-((Scenarios!$I$35*(1+Sensitivity!$G$8))*Scenarios!$I$49-Scenarios!$I$50))/(Sensitivity!$C$11-Sensitivity!$G$8))/(1+Sensitivity!$C$11)^((DATE(2031,5,31)-ModelDate)/365)+CashAndShortTermInvestments-CarryingDebt-RedeemablePreferredStock)/DilutedProxyShares</f>
        <v>51.148149748665418</v>
      </c>
      <c r="F159" s="16">
        <f t="shared" si="9"/>
        <v>0</v>
      </c>
      <c r="G159" s="5">
        <v>1.0000000000000001E-9</v>
      </c>
      <c r="H159" s="16" t="str">
        <f>IF(AND(ISNUMBER(D159),ISNUMBER(E159),ISNUMBER(F159),ISNUMBER(G159)),IF(ABS(F159)&lt;=G159,"PASS","FAIL"),"UNVERIFIED")</f>
        <v>PASS</v>
      </c>
      <c r="I159" s="18" t="s">
        <v>945</v>
      </c>
    </row>
    <row r="160" spans="1:9" x14ac:dyDescent="0.45">
      <c r="A160" s="5" t="s">
        <v>946</v>
      </c>
      <c r="B160" s="5" t="s">
        <v>609</v>
      </c>
      <c r="C160" s="5" t="s">
        <v>892</v>
      </c>
      <c r="D160" s="16">
        <f>Sensitivity!G11</f>
        <v>51.148149748665404</v>
      </c>
      <c r="E160" s="5">
        <v>51.148149748665453</v>
      </c>
      <c r="F160" s="16">
        <f t="shared" si="9"/>
        <v>0</v>
      </c>
      <c r="G160" s="5">
        <v>0.01</v>
      </c>
      <c r="H160" s="16" t="str">
        <f>IF(AND(ISNUMBER(D160),ISNUMBER(E160),ISNUMBER(F160),ISNUMBER(G160)),IF(ABS(F160)&lt;=G160,"MATCHES APPROVED","DIFFERS FROM APPROVED"),"UNVERIFIED")</f>
        <v>MATCHES APPROVED</v>
      </c>
      <c r="I160" s="18" t="s">
        <v>947</v>
      </c>
    </row>
    <row r="161" spans="1:9" x14ac:dyDescent="0.45">
      <c r="A161" s="5" t="s">
        <v>948</v>
      </c>
      <c r="B161" s="5" t="s">
        <v>608</v>
      </c>
      <c r="C161" s="5" t="s">
        <v>892</v>
      </c>
      <c r="D161" s="16">
        <f>Sensitivity!H11</f>
        <v>55.159499561552842</v>
      </c>
      <c r="E161" s="16">
        <f>(SUMPRODUCT(Scenarios!$E$52:$I$52,1/(1+Sensitivity!$C$11)^((DCF!$E$12:$I$12-ModelDate)/365))+((((Scenarios!$I$35*(1+Sensitivity!$H$8))*(Scenarios!$I$36-Scenarios!$I$38))-MAX(((Scenarios!$I$35*(1+Sensitivity!$H$8))*(Scenarios!$I$36-Scenarios!$I$38)),0)*Scenarios!$I$42+(Scenarios!$I$35*(1+Sensitivity!$H$8))*Scenarios!$I$45-(Scenarios!$I$35*(1+Sensitivity!$H$8))*Scenarios!$I$47-((Scenarios!$I$35*(1+Sensitivity!$H$8))*Scenarios!$I$49-Scenarios!$I$50))/(Sensitivity!$C$11-Sensitivity!$H$8))/(1+Sensitivity!$C$11)^((DATE(2031,5,31)-ModelDate)/365)+CashAndShortTermInvestments-CarryingDebt-RedeemablePreferredStock)/DilutedProxyShares</f>
        <v>55.159499561552842</v>
      </c>
      <c r="F161" s="16">
        <f t="shared" si="9"/>
        <v>0</v>
      </c>
      <c r="G161" s="5">
        <v>1.0000000000000001E-9</v>
      </c>
      <c r="H161" s="16" t="str">
        <f>IF(AND(ISNUMBER(D161),ISNUMBER(E161),ISNUMBER(F161),ISNUMBER(G161)),IF(ABS(F161)&lt;=G161,"PASS","FAIL"),"UNVERIFIED")</f>
        <v>PASS</v>
      </c>
      <c r="I161" s="18" t="s">
        <v>949</v>
      </c>
    </row>
    <row r="162" spans="1:9" x14ac:dyDescent="0.45">
      <c r="A162" s="5" t="s">
        <v>950</v>
      </c>
      <c r="B162" s="5" t="s">
        <v>609</v>
      </c>
      <c r="C162" s="5" t="s">
        <v>892</v>
      </c>
      <c r="D162" s="16">
        <f>Sensitivity!H11</f>
        <v>55.159499561552842</v>
      </c>
      <c r="E162" s="5">
        <v>55.159499561552863</v>
      </c>
      <c r="F162" s="16">
        <f t="shared" si="9"/>
        <v>0</v>
      </c>
      <c r="G162" s="5">
        <v>0.01</v>
      </c>
      <c r="H162" s="16" t="str">
        <f>IF(AND(ISNUMBER(D162),ISNUMBER(E162),ISNUMBER(F162),ISNUMBER(G162)),IF(ABS(F162)&lt;=G162,"MATCHES APPROVED","DIFFERS FROM APPROVED"),"UNVERIFIED")</f>
        <v>MATCHES APPROVED</v>
      </c>
      <c r="I162" s="18" t="s">
        <v>951</v>
      </c>
    </row>
    <row r="163" spans="1:9" x14ac:dyDescent="0.45">
      <c r="A163" s="5" t="s">
        <v>952</v>
      </c>
      <c r="B163" s="5" t="s">
        <v>608</v>
      </c>
      <c r="C163" s="5" t="s">
        <v>892</v>
      </c>
      <c r="D163" s="16">
        <f>Sensitivity!D12</f>
        <v>39.684025060775916</v>
      </c>
      <c r="E163" s="16">
        <f>(SUMPRODUCT(Scenarios!$E$52:$I$52,1/(1+Sensitivity!$C$12)^((DCF!$E$12:$I$12-ModelDate)/365))+((((Scenarios!$I$35*(1+Sensitivity!$D$8))*(Scenarios!$I$36-Scenarios!$I$38))-MAX(((Scenarios!$I$35*(1+Sensitivity!$D$8))*(Scenarios!$I$36-Scenarios!$I$38)),0)*Scenarios!$I$42+(Scenarios!$I$35*(1+Sensitivity!$D$8))*Scenarios!$I$45-(Scenarios!$I$35*(1+Sensitivity!$D$8))*Scenarios!$I$47-((Scenarios!$I$35*(1+Sensitivity!$D$8))*Scenarios!$I$49-Scenarios!$I$50))/(Sensitivity!$C$12-Sensitivity!$D$8))/(1+Sensitivity!$C$12)^((DATE(2031,5,31)-ModelDate)/365)+CashAndShortTermInvestments-CarryingDebt-RedeemablePreferredStock)/DilutedProxyShares</f>
        <v>39.684025060775923</v>
      </c>
      <c r="F163" s="16">
        <f t="shared" si="9"/>
        <v>0</v>
      </c>
      <c r="G163" s="5">
        <v>1.0000000000000001E-9</v>
      </c>
      <c r="H163" s="16" t="str">
        <f>IF(AND(ISNUMBER(D163),ISNUMBER(E163),ISNUMBER(F163),ISNUMBER(G163)),IF(ABS(F163)&lt;=G163,"PASS","FAIL"),"UNVERIFIED")</f>
        <v>PASS</v>
      </c>
      <c r="I163" s="18" t="s">
        <v>953</v>
      </c>
    </row>
    <row r="164" spans="1:9" x14ac:dyDescent="0.45">
      <c r="A164" s="5" t="s">
        <v>954</v>
      </c>
      <c r="B164" s="5" t="s">
        <v>609</v>
      </c>
      <c r="C164" s="5" t="s">
        <v>892</v>
      </c>
      <c r="D164" s="16">
        <f>Sensitivity!D12</f>
        <v>39.684025060775916</v>
      </c>
      <c r="E164" s="5">
        <v>39.684025060775923</v>
      </c>
      <c r="F164" s="16">
        <f t="shared" si="9"/>
        <v>0</v>
      </c>
      <c r="G164" s="5">
        <v>0.01</v>
      </c>
      <c r="H164" s="16" t="str">
        <f>IF(AND(ISNUMBER(D164),ISNUMBER(E164),ISNUMBER(F164),ISNUMBER(G164)),IF(ABS(F164)&lt;=G164,"MATCHES APPROVED","DIFFERS FROM APPROVED"),"UNVERIFIED")</f>
        <v>MATCHES APPROVED</v>
      </c>
      <c r="I164" s="18" t="s">
        <v>955</v>
      </c>
    </row>
    <row r="165" spans="1:9" x14ac:dyDescent="0.45">
      <c r="A165" s="5" t="s">
        <v>956</v>
      </c>
      <c r="B165" s="5" t="s">
        <v>608</v>
      </c>
      <c r="C165" s="5" t="s">
        <v>892</v>
      </c>
      <c r="D165" s="16">
        <f>Sensitivity!E12</f>
        <v>41.736496789839428</v>
      </c>
      <c r="E165" s="16">
        <f>(SUMPRODUCT(Scenarios!$E$52:$I$52,1/(1+Sensitivity!$C$12)^((DCF!$E$12:$I$12-ModelDate)/365))+((((Scenarios!$I$35*(1+Sensitivity!$E$8))*(Scenarios!$I$36-Scenarios!$I$38))-MAX(((Scenarios!$I$35*(1+Sensitivity!$E$8))*(Scenarios!$I$36-Scenarios!$I$38)),0)*Scenarios!$I$42+(Scenarios!$I$35*(1+Sensitivity!$E$8))*Scenarios!$I$45-(Scenarios!$I$35*(1+Sensitivity!$E$8))*Scenarios!$I$47-((Scenarios!$I$35*(1+Sensitivity!$E$8))*Scenarios!$I$49-Scenarios!$I$50))/(Sensitivity!$C$12-Sensitivity!$E$8))/(1+Sensitivity!$C$12)^((DATE(2031,5,31)-ModelDate)/365)+CashAndShortTermInvestments-CarryingDebt-RedeemablePreferredStock)/DilutedProxyShares</f>
        <v>41.736496789839428</v>
      </c>
      <c r="F165" s="16">
        <f t="shared" si="9"/>
        <v>0</v>
      </c>
      <c r="G165" s="5">
        <v>1.0000000000000001E-9</v>
      </c>
      <c r="H165" s="16" t="str">
        <f>IF(AND(ISNUMBER(D165),ISNUMBER(E165),ISNUMBER(F165),ISNUMBER(G165)),IF(ABS(F165)&lt;=G165,"PASS","FAIL"),"UNVERIFIED")</f>
        <v>PASS</v>
      </c>
      <c r="I165" s="18" t="s">
        <v>957</v>
      </c>
    </row>
    <row r="166" spans="1:9" x14ac:dyDescent="0.45">
      <c r="A166" s="5" t="s">
        <v>958</v>
      </c>
      <c r="B166" s="5" t="s">
        <v>609</v>
      </c>
      <c r="C166" s="5" t="s">
        <v>892</v>
      </c>
      <c r="D166" s="16">
        <f>Sensitivity!E12</f>
        <v>41.736496789839428</v>
      </c>
      <c r="E166" s="5">
        <v>41.736496789839428</v>
      </c>
      <c r="F166" s="16">
        <f t="shared" si="9"/>
        <v>0</v>
      </c>
      <c r="G166" s="5">
        <v>0.01</v>
      </c>
      <c r="H166" s="16" t="str">
        <f>IF(AND(ISNUMBER(D166),ISNUMBER(E166),ISNUMBER(F166),ISNUMBER(G166)),IF(ABS(F166)&lt;=G166,"MATCHES APPROVED","DIFFERS FROM APPROVED"),"UNVERIFIED")</f>
        <v>MATCHES APPROVED</v>
      </c>
      <c r="I166" s="18" t="s">
        <v>959</v>
      </c>
    </row>
    <row r="167" spans="1:9" x14ac:dyDescent="0.45">
      <c r="A167" s="5" t="s">
        <v>960</v>
      </c>
      <c r="B167" s="5" t="s">
        <v>608</v>
      </c>
      <c r="C167" s="5" t="s">
        <v>892</v>
      </c>
      <c r="D167" s="16">
        <f>Sensitivity!F12</f>
        <v>44.105344549836786</v>
      </c>
      <c r="E167" s="16">
        <f>(SUMPRODUCT(Scenarios!$E$52:$I$52,1/(1+Sensitivity!$C$12)^((DCF!$E$12:$I$12-ModelDate)/365))+((((Scenarios!$I$35*(1+Sensitivity!$F$8))*(Scenarios!$I$36-Scenarios!$I$38))-MAX(((Scenarios!$I$35*(1+Sensitivity!$F$8))*(Scenarios!$I$36-Scenarios!$I$38)),0)*Scenarios!$I$42+(Scenarios!$I$35*(1+Sensitivity!$F$8))*Scenarios!$I$45-(Scenarios!$I$35*(1+Sensitivity!$F$8))*Scenarios!$I$47-((Scenarios!$I$35*(1+Sensitivity!$F$8))*Scenarios!$I$49-Scenarios!$I$50))/(Sensitivity!$C$12-Sensitivity!$F$8))/(1+Sensitivity!$C$12)^((DATE(2031,5,31)-ModelDate)/365)+CashAndShortTermInvestments-CarryingDebt-RedeemablePreferredStock)/DilutedProxyShares</f>
        <v>44.105344549836786</v>
      </c>
      <c r="F167" s="16">
        <f t="shared" si="9"/>
        <v>0</v>
      </c>
      <c r="G167" s="5">
        <v>1.0000000000000001E-9</v>
      </c>
      <c r="H167" s="16" t="str">
        <f>IF(AND(ISNUMBER(D167),ISNUMBER(E167),ISNUMBER(F167),ISNUMBER(G167)),IF(ABS(F167)&lt;=G167,"PASS","FAIL"),"UNVERIFIED")</f>
        <v>PASS</v>
      </c>
      <c r="I167" s="18" t="s">
        <v>961</v>
      </c>
    </row>
    <row r="168" spans="1:9" x14ac:dyDescent="0.45">
      <c r="A168" s="5" t="s">
        <v>962</v>
      </c>
      <c r="B168" s="5" t="s">
        <v>609</v>
      </c>
      <c r="C168" s="5" t="s">
        <v>892</v>
      </c>
      <c r="D168" s="16">
        <f>Sensitivity!F12</f>
        <v>44.105344549836786</v>
      </c>
      <c r="E168" s="5">
        <v>44.105344549836794</v>
      </c>
      <c r="F168" s="16">
        <f t="shared" si="9"/>
        <v>0</v>
      </c>
      <c r="G168" s="5">
        <v>0.01</v>
      </c>
      <c r="H168" s="16" t="str">
        <f>IF(AND(ISNUMBER(D168),ISNUMBER(E168),ISNUMBER(F168),ISNUMBER(G168)),IF(ABS(F168)&lt;=G168,"MATCHES APPROVED","DIFFERS FROM APPROVED"),"UNVERIFIED")</f>
        <v>MATCHES APPROVED</v>
      </c>
      <c r="I168" s="18" t="s">
        <v>963</v>
      </c>
    </row>
    <row r="169" spans="1:9" x14ac:dyDescent="0.45">
      <c r="A169" s="5" t="s">
        <v>964</v>
      </c>
      <c r="B169" s="5" t="s">
        <v>608</v>
      </c>
      <c r="C169" s="5" t="s">
        <v>892</v>
      </c>
      <c r="D169" s="16">
        <f>Sensitivity!G12</f>
        <v>46.86982821527701</v>
      </c>
      <c r="E169" s="16">
        <f>(SUMPRODUCT(Scenarios!$E$52:$I$52,1/(1+Sensitivity!$C$12)^((DCF!$E$12:$I$12-ModelDate)/365))+((((Scenarios!$I$35*(1+Sensitivity!$G$8))*(Scenarios!$I$36-Scenarios!$I$38))-MAX(((Scenarios!$I$35*(1+Sensitivity!$G$8))*(Scenarios!$I$36-Scenarios!$I$38)),0)*Scenarios!$I$42+(Scenarios!$I$35*(1+Sensitivity!$G$8))*Scenarios!$I$45-(Scenarios!$I$35*(1+Sensitivity!$G$8))*Scenarios!$I$47-((Scenarios!$I$35*(1+Sensitivity!$G$8))*Scenarios!$I$49-Scenarios!$I$50))/(Sensitivity!$C$12-Sensitivity!$G$8))/(1+Sensitivity!$C$12)^((DATE(2031,5,31)-ModelDate)/365)+CashAndShortTermInvestments-CarryingDebt-RedeemablePreferredStock)/DilutedProxyShares</f>
        <v>46.869828215277018</v>
      </c>
      <c r="F169" s="16">
        <f t="shared" ref="F169:F200" si="10">D169-E169</f>
        <v>0</v>
      </c>
      <c r="G169" s="5">
        <v>1.0000000000000001E-9</v>
      </c>
      <c r="H169" s="16" t="str">
        <f>IF(AND(ISNUMBER(D169),ISNUMBER(E169),ISNUMBER(F169),ISNUMBER(G169)),IF(ABS(F169)&lt;=G169,"PASS","FAIL"),"UNVERIFIED")</f>
        <v>PASS</v>
      </c>
      <c r="I169" s="18" t="s">
        <v>965</v>
      </c>
    </row>
    <row r="170" spans="1:9" x14ac:dyDescent="0.45">
      <c r="A170" s="5" t="s">
        <v>966</v>
      </c>
      <c r="B170" s="5" t="s">
        <v>609</v>
      </c>
      <c r="C170" s="5" t="s">
        <v>892</v>
      </c>
      <c r="D170" s="16">
        <f>Sensitivity!G12</f>
        <v>46.86982821527701</v>
      </c>
      <c r="E170" s="5">
        <v>46.869828215277018</v>
      </c>
      <c r="F170" s="16">
        <f t="shared" si="10"/>
        <v>0</v>
      </c>
      <c r="G170" s="5">
        <v>0.01</v>
      </c>
      <c r="H170" s="16" t="str">
        <f>IF(AND(ISNUMBER(D170),ISNUMBER(E170),ISNUMBER(F170),ISNUMBER(G170)),IF(ABS(F170)&lt;=G170,"MATCHES APPROVED","DIFFERS FROM APPROVED"),"UNVERIFIED")</f>
        <v>MATCHES APPROVED</v>
      </c>
      <c r="I170" s="18" t="s">
        <v>967</v>
      </c>
    </row>
    <row r="171" spans="1:9" x14ac:dyDescent="0.45">
      <c r="A171" s="5" t="s">
        <v>968</v>
      </c>
      <c r="B171" s="5" t="s">
        <v>608</v>
      </c>
      <c r="C171" s="5" t="s">
        <v>892</v>
      </c>
      <c r="D171" s="16">
        <f>Sensitivity!H12</f>
        <v>50.138095382165773</v>
      </c>
      <c r="E171" s="16">
        <f>(SUMPRODUCT(Scenarios!$E$52:$I$52,1/(1+Sensitivity!$C$12)^((DCF!$E$12:$I$12-ModelDate)/365))+((((Scenarios!$I$35*(1+Sensitivity!$H$8))*(Scenarios!$I$36-Scenarios!$I$38))-MAX(((Scenarios!$I$35*(1+Sensitivity!$H$8))*(Scenarios!$I$36-Scenarios!$I$38)),0)*Scenarios!$I$42+(Scenarios!$I$35*(1+Sensitivity!$H$8))*Scenarios!$I$45-(Scenarios!$I$35*(1+Sensitivity!$H$8))*Scenarios!$I$47-((Scenarios!$I$35*(1+Sensitivity!$H$8))*Scenarios!$I$49-Scenarios!$I$50))/(Sensitivity!$C$12-Sensitivity!$H$8))/(1+Sensitivity!$C$12)^((DATE(2031,5,31)-ModelDate)/365)+CashAndShortTermInvestments-CarryingDebt-RedeemablePreferredStock)/DilutedProxyShares</f>
        <v>50.138095382165773</v>
      </c>
      <c r="F171" s="16">
        <f t="shared" si="10"/>
        <v>0</v>
      </c>
      <c r="G171" s="5">
        <v>1.0000000000000001E-9</v>
      </c>
      <c r="H171" s="16" t="str">
        <f>IF(AND(ISNUMBER(D171),ISNUMBER(E171),ISNUMBER(F171),ISNUMBER(G171)),IF(ABS(F171)&lt;=G171,"PASS","FAIL"),"UNVERIFIED")</f>
        <v>PASS</v>
      </c>
      <c r="I171" s="18" t="s">
        <v>969</v>
      </c>
    </row>
    <row r="172" spans="1:9" x14ac:dyDescent="0.45">
      <c r="A172" s="5" t="s">
        <v>970</v>
      </c>
      <c r="B172" s="5" t="s">
        <v>609</v>
      </c>
      <c r="C172" s="5" t="s">
        <v>892</v>
      </c>
      <c r="D172" s="16">
        <f>Sensitivity!H12</f>
        <v>50.138095382165773</v>
      </c>
      <c r="E172" s="5">
        <v>50.13809538216578</v>
      </c>
      <c r="F172" s="16">
        <f t="shared" si="10"/>
        <v>0</v>
      </c>
      <c r="G172" s="5">
        <v>0.01</v>
      </c>
      <c r="H172" s="16" t="str">
        <f>IF(AND(ISNUMBER(D172),ISNUMBER(E172),ISNUMBER(F172),ISNUMBER(G172)),IF(ABS(F172)&lt;=G172,"MATCHES APPROVED","DIFFERS FROM APPROVED"),"UNVERIFIED")</f>
        <v>MATCHES APPROVED</v>
      </c>
      <c r="I172" s="18" t="s">
        <v>971</v>
      </c>
    </row>
    <row r="173" spans="1:9" x14ac:dyDescent="0.45">
      <c r="A173" s="5" t="s">
        <v>972</v>
      </c>
      <c r="B173" s="5" t="s">
        <v>608</v>
      </c>
      <c r="C173" s="5" t="s">
        <v>892</v>
      </c>
      <c r="D173" s="16">
        <f>Sensitivity!D13</f>
        <v>37.171086505756925</v>
      </c>
      <c r="E173" s="16">
        <f>(SUMPRODUCT(Scenarios!$E$52:$I$52,1/(1+Sensitivity!$C$13)^((DCF!$E$12:$I$12-ModelDate)/365))+((((Scenarios!$I$35*(1+Sensitivity!$D$8))*(Scenarios!$I$36-Scenarios!$I$38))-MAX(((Scenarios!$I$35*(1+Sensitivity!$D$8))*(Scenarios!$I$36-Scenarios!$I$38)),0)*Scenarios!$I$42+(Scenarios!$I$35*(1+Sensitivity!$D$8))*Scenarios!$I$45-(Scenarios!$I$35*(1+Sensitivity!$D$8))*Scenarios!$I$47-((Scenarios!$I$35*(1+Sensitivity!$D$8))*Scenarios!$I$49-Scenarios!$I$50))/(Sensitivity!$C$13-Sensitivity!$D$8))/(1+Sensitivity!$C$13)^((DATE(2031,5,31)-ModelDate)/365)+CashAndShortTermInvestments-CarryingDebt-RedeemablePreferredStock)/DilutedProxyShares</f>
        <v>37.171086505756939</v>
      </c>
      <c r="F173" s="16">
        <f t="shared" si="10"/>
        <v>0</v>
      </c>
      <c r="G173" s="5">
        <v>1.0000000000000001E-9</v>
      </c>
      <c r="H173" s="16" t="str">
        <f>IF(AND(ISNUMBER(D173),ISNUMBER(E173),ISNUMBER(F173),ISNUMBER(G173)),IF(ABS(F173)&lt;=G173,"PASS","FAIL"),"UNVERIFIED")</f>
        <v>PASS</v>
      </c>
      <c r="I173" s="18" t="s">
        <v>973</v>
      </c>
    </row>
    <row r="174" spans="1:9" x14ac:dyDescent="0.45">
      <c r="A174" s="5" t="s">
        <v>974</v>
      </c>
      <c r="B174" s="5" t="s">
        <v>609</v>
      </c>
      <c r="C174" s="5" t="s">
        <v>892</v>
      </c>
      <c r="D174" s="16">
        <f>Sensitivity!D13</f>
        <v>37.171086505756925</v>
      </c>
      <c r="E174" s="5">
        <v>37.171086505756953</v>
      </c>
      <c r="F174" s="16">
        <f t="shared" si="10"/>
        <v>0</v>
      </c>
      <c r="G174" s="5">
        <v>0.01</v>
      </c>
      <c r="H174" s="16" t="str">
        <f>IF(AND(ISNUMBER(D174),ISNUMBER(E174),ISNUMBER(F174),ISNUMBER(G174)),IF(ABS(F174)&lt;=G174,"MATCHES APPROVED","DIFFERS FROM APPROVED"),"UNVERIFIED")</f>
        <v>MATCHES APPROVED</v>
      </c>
      <c r="I174" s="18" t="s">
        <v>975</v>
      </c>
    </row>
    <row r="175" spans="1:9" x14ac:dyDescent="0.45">
      <c r="A175" s="5" t="s">
        <v>976</v>
      </c>
      <c r="B175" s="5" t="s">
        <v>608</v>
      </c>
      <c r="C175" s="5" t="s">
        <v>892</v>
      </c>
      <c r="D175" s="16">
        <f>Sensitivity!E13</f>
        <v>38.927478389528268</v>
      </c>
      <c r="E175" s="16">
        <f>(SUMPRODUCT(Scenarios!$E$52:$I$52,1/(1+Sensitivity!$C$13)^((DCF!$E$12:$I$12-ModelDate)/365))+((((Scenarios!$I$35*(1+Sensitivity!$E$8))*(Scenarios!$I$36-Scenarios!$I$38))-MAX(((Scenarios!$I$35*(1+Sensitivity!$E$8))*(Scenarios!$I$36-Scenarios!$I$38)),0)*Scenarios!$I$42+(Scenarios!$I$35*(1+Sensitivity!$E$8))*Scenarios!$I$45-(Scenarios!$I$35*(1+Sensitivity!$E$8))*Scenarios!$I$47-((Scenarios!$I$35*(1+Sensitivity!$E$8))*Scenarios!$I$49-Scenarios!$I$50))/(Sensitivity!$C$13-Sensitivity!$E$8))/(1+Sensitivity!$C$13)^((DATE(2031,5,31)-ModelDate)/365)+CashAndShortTermInvestments-CarryingDebt-RedeemablePreferredStock)/DilutedProxyShares</f>
        <v>38.927478389528261</v>
      </c>
      <c r="F175" s="16">
        <f t="shared" si="10"/>
        <v>0</v>
      </c>
      <c r="G175" s="5">
        <v>1.0000000000000001E-9</v>
      </c>
      <c r="H175" s="16" t="str">
        <f>IF(AND(ISNUMBER(D175),ISNUMBER(E175),ISNUMBER(F175),ISNUMBER(G175)),IF(ABS(F175)&lt;=G175,"PASS","FAIL"),"UNVERIFIED")</f>
        <v>PASS</v>
      </c>
      <c r="I175" s="18" t="s">
        <v>977</v>
      </c>
    </row>
    <row r="176" spans="1:9" x14ac:dyDescent="0.45">
      <c r="A176" s="5" t="s">
        <v>978</v>
      </c>
      <c r="B176" s="5" t="s">
        <v>609</v>
      </c>
      <c r="C176" s="5" t="s">
        <v>892</v>
      </c>
      <c r="D176" s="16">
        <f>Sensitivity!E13</f>
        <v>38.927478389528268</v>
      </c>
      <c r="E176" s="5">
        <v>38.927478389528282</v>
      </c>
      <c r="F176" s="16">
        <f t="shared" si="10"/>
        <v>0</v>
      </c>
      <c r="G176" s="5">
        <v>0.01</v>
      </c>
      <c r="H176" s="16" t="str">
        <f>IF(AND(ISNUMBER(D176),ISNUMBER(E176),ISNUMBER(F176),ISNUMBER(G176)),IF(ABS(F176)&lt;=G176,"MATCHES APPROVED","DIFFERS FROM APPROVED"),"UNVERIFIED")</f>
        <v>MATCHES APPROVED</v>
      </c>
      <c r="I176" s="18" t="s">
        <v>979</v>
      </c>
    </row>
    <row r="177" spans="1:9" x14ac:dyDescent="0.45">
      <c r="A177" s="5" t="s">
        <v>980</v>
      </c>
      <c r="B177" s="5" t="s">
        <v>608</v>
      </c>
      <c r="C177" s="5" t="s">
        <v>892</v>
      </c>
      <c r="D177" s="16">
        <f>Sensitivity!F13</f>
        <v>40.935234280956969</v>
      </c>
      <c r="E177" s="16">
        <f>(SUMPRODUCT(Scenarios!$E$52:$I$52,1/(1+Sensitivity!$C$13)^((DCF!$E$12:$I$12-ModelDate)/365))+((((Scenarios!$I$35*(1+Sensitivity!$F$8))*(Scenarios!$I$36-Scenarios!$I$38))-MAX(((Scenarios!$I$35*(1+Sensitivity!$F$8))*(Scenarios!$I$36-Scenarios!$I$38)),0)*Scenarios!$I$42+(Scenarios!$I$35*(1+Sensitivity!$F$8))*Scenarios!$I$45-(Scenarios!$I$35*(1+Sensitivity!$F$8))*Scenarios!$I$47-((Scenarios!$I$35*(1+Sensitivity!$F$8))*Scenarios!$I$49-Scenarios!$I$50))/(Sensitivity!$C$13-Sensitivity!$F$8))/(1+Sensitivity!$C$13)^((DATE(2031,5,31)-ModelDate)/365)+CashAndShortTermInvestments-CarryingDebt-RedeemablePreferredStock)/DilutedProxyShares</f>
        <v>40.935234280956948</v>
      </c>
      <c r="F177" s="16">
        <f t="shared" si="10"/>
        <v>0</v>
      </c>
      <c r="G177" s="5">
        <v>1.0000000000000001E-9</v>
      </c>
      <c r="H177" s="16" t="str">
        <f>IF(AND(ISNUMBER(D177),ISNUMBER(E177),ISNUMBER(F177),ISNUMBER(G177)),IF(ABS(F177)&lt;=G177,"PASS","FAIL"),"UNVERIFIED")</f>
        <v>PASS</v>
      </c>
      <c r="I177" s="18" t="s">
        <v>981</v>
      </c>
    </row>
    <row r="178" spans="1:9" x14ac:dyDescent="0.45">
      <c r="A178" s="5" t="s">
        <v>982</v>
      </c>
      <c r="B178" s="5" t="s">
        <v>609</v>
      </c>
      <c r="C178" s="5" t="s">
        <v>892</v>
      </c>
      <c r="D178" s="16">
        <f>Sensitivity!F13</f>
        <v>40.935234280956969</v>
      </c>
      <c r="E178" s="5">
        <v>40.935234280956969</v>
      </c>
      <c r="F178" s="16">
        <f t="shared" si="10"/>
        <v>0</v>
      </c>
      <c r="G178" s="5">
        <v>0.01</v>
      </c>
      <c r="H178" s="16" t="str">
        <f>IF(AND(ISNUMBER(D178),ISNUMBER(E178),ISNUMBER(F178),ISNUMBER(G178)),IF(ABS(F178)&lt;=G178,"MATCHES APPROVED","DIFFERS FROM APPROVED"),"UNVERIFIED")</f>
        <v>MATCHES APPROVED</v>
      </c>
      <c r="I178" s="18" t="s">
        <v>983</v>
      </c>
    </row>
    <row r="179" spans="1:9" x14ac:dyDescent="0.45">
      <c r="A179" s="5" t="s">
        <v>984</v>
      </c>
      <c r="B179" s="5" t="s">
        <v>608</v>
      </c>
      <c r="C179" s="5" t="s">
        <v>892</v>
      </c>
      <c r="D179" s="16">
        <f>Sensitivity!G13</f>
        <v>43.252473528974477</v>
      </c>
      <c r="E179" s="16">
        <f>(SUMPRODUCT(Scenarios!$E$52:$I$52,1/(1+Sensitivity!$C$13)^((DCF!$E$12:$I$12-ModelDate)/365))+((((Scenarios!$I$35*(1+Sensitivity!$G$8))*(Scenarios!$I$36-Scenarios!$I$38))-MAX(((Scenarios!$I$35*(1+Sensitivity!$G$8))*(Scenarios!$I$36-Scenarios!$I$38)),0)*Scenarios!$I$42+(Scenarios!$I$35*(1+Sensitivity!$G$8))*Scenarios!$I$45-(Scenarios!$I$35*(1+Sensitivity!$G$8))*Scenarios!$I$47-((Scenarios!$I$35*(1+Sensitivity!$G$8))*Scenarios!$I$49-Scenarios!$I$50))/(Sensitivity!$C$13-Sensitivity!$G$8))/(1+Sensitivity!$C$13)^((DATE(2031,5,31)-ModelDate)/365)+CashAndShortTermInvestments-CarryingDebt-RedeemablePreferredStock)/DilutedProxyShares</f>
        <v>43.252473528974477</v>
      </c>
      <c r="F179" s="16">
        <f t="shared" si="10"/>
        <v>0</v>
      </c>
      <c r="G179" s="5">
        <v>1.0000000000000001E-9</v>
      </c>
      <c r="H179" s="16" t="str">
        <f>IF(AND(ISNUMBER(D179),ISNUMBER(E179),ISNUMBER(F179),ISNUMBER(G179)),IF(ABS(F179)&lt;=G179,"PASS","FAIL"),"UNVERIFIED")</f>
        <v>PASS</v>
      </c>
      <c r="I179" s="18" t="s">
        <v>985</v>
      </c>
    </row>
    <row r="180" spans="1:9" x14ac:dyDescent="0.45">
      <c r="A180" s="5" t="s">
        <v>986</v>
      </c>
      <c r="B180" s="5" t="s">
        <v>609</v>
      </c>
      <c r="C180" s="5" t="s">
        <v>892</v>
      </c>
      <c r="D180" s="16">
        <f>Sensitivity!G13</f>
        <v>43.252473528974477</v>
      </c>
      <c r="E180" s="5">
        <v>43.252473528974512</v>
      </c>
      <c r="F180" s="16">
        <f t="shared" si="10"/>
        <v>0</v>
      </c>
      <c r="G180" s="5">
        <v>0.01</v>
      </c>
      <c r="H180" s="16" t="str">
        <f>IF(AND(ISNUMBER(D180),ISNUMBER(E180),ISNUMBER(F180),ISNUMBER(G180)),IF(ABS(F180)&lt;=G180,"MATCHES APPROVED","DIFFERS FROM APPROVED"),"UNVERIFIED")</f>
        <v>MATCHES APPROVED</v>
      </c>
      <c r="I180" s="18" t="s">
        <v>987</v>
      </c>
    </row>
    <row r="181" spans="1:9" x14ac:dyDescent="0.45">
      <c r="A181" s="5" t="s">
        <v>988</v>
      </c>
      <c r="B181" s="5" t="s">
        <v>608</v>
      </c>
      <c r="C181" s="5" t="s">
        <v>892</v>
      </c>
      <c r="D181" s="16">
        <f>Sensitivity!H13</f>
        <v>45.956729225874426</v>
      </c>
      <c r="E181" s="16">
        <f>(SUMPRODUCT(Scenarios!$E$52:$I$52,1/(1+Sensitivity!$C$13)^((DCF!$E$12:$I$12-ModelDate)/365))+((((Scenarios!$I$35*(1+Sensitivity!$H$8))*(Scenarios!$I$36-Scenarios!$I$38))-MAX(((Scenarios!$I$35*(1+Sensitivity!$H$8))*(Scenarios!$I$36-Scenarios!$I$38)),0)*Scenarios!$I$42+(Scenarios!$I$35*(1+Sensitivity!$H$8))*Scenarios!$I$45-(Scenarios!$I$35*(1+Sensitivity!$H$8))*Scenarios!$I$47-((Scenarios!$I$35*(1+Sensitivity!$H$8))*Scenarios!$I$49-Scenarios!$I$50))/(Sensitivity!$C$13-Sensitivity!$H$8))/(1+Sensitivity!$C$13)^((DATE(2031,5,31)-ModelDate)/365)+CashAndShortTermInvestments-CarryingDebt-RedeemablePreferredStock)/DilutedProxyShares</f>
        <v>45.956729225874426</v>
      </c>
      <c r="F181" s="16">
        <f t="shared" si="10"/>
        <v>0</v>
      </c>
      <c r="G181" s="5">
        <v>1.0000000000000001E-9</v>
      </c>
      <c r="H181" s="16" t="str">
        <f>IF(AND(ISNUMBER(D181),ISNUMBER(E181),ISNUMBER(F181),ISNUMBER(G181)),IF(ABS(F181)&lt;=G181,"PASS","FAIL"),"UNVERIFIED")</f>
        <v>PASS</v>
      </c>
      <c r="I181" s="18" t="s">
        <v>989</v>
      </c>
    </row>
    <row r="182" spans="1:9" x14ac:dyDescent="0.45">
      <c r="A182" s="5" t="s">
        <v>990</v>
      </c>
      <c r="B182" s="5" t="s">
        <v>609</v>
      </c>
      <c r="C182" s="5" t="s">
        <v>892</v>
      </c>
      <c r="D182" s="16">
        <f>Sensitivity!H13</f>
        <v>45.956729225874426</v>
      </c>
      <c r="E182" s="5">
        <v>45.956729225874447</v>
      </c>
      <c r="F182" s="16">
        <f t="shared" si="10"/>
        <v>0</v>
      </c>
      <c r="G182" s="5">
        <v>0.01</v>
      </c>
      <c r="H182" s="16" t="str">
        <f>IF(AND(ISNUMBER(D182),ISNUMBER(E182),ISNUMBER(F182),ISNUMBER(G182)),IF(ABS(F182)&lt;=G182,"MATCHES APPROVED","DIFFERS FROM APPROVED"),"UNVERIFIED")</f>
        <v>MATCHES APPROVED</v>
      </c>
      <c r="I182" s="18" t="s">
        <v>991</v>
      </c>
    </row>
    <row r="183" spans="1:9" ht="25.5" x14ac:dyDescent="0.45">
      <c r="A183" s="5" t="s">
        <v>992</v>
      </c>
      <c r="B183" s="5" t="s">
        <v>993</v>
      </c>
      <c r="C183" s="5" t="s">
        <v>892</v>
      </c>
      <c r="D183" s="16">
        <f>SensitivityCenter</f>
        <v>47.80676026082299</v>
      </c>
      <c r="E183" s="16">
        <f>BaseValuePerShare</f>
        <v>47.80676026082299</v>
      </c>
      <c r="F183" s="16">
        <f>IF(AND(ABS(Sensitivity!$C$11-CalculatedWACC)&lt;=0.000000001,ABS(Sensitivity!$F$8-TerminalGrowth)&lt;=0.000000001),D183-E183,"")</f>
        <v>0</v>
      </c>
      <c r="G183" s="5">
        <v>0.01</v>
      </c>
      <c r="H183" s="16" t="str">
        <f>IF(NOT(AND(ABS(Sensitivity!$C$11-CalculatedWACC)&lt;=0.000000001,ABS(Sensitivity!$F$8-TerminalGrowth)&lt;=0.000000001)),"NOT APPLICABLE — COORDINATES DIFFER",IF(AND(ISNUMBER(D183),ISNUMBER(E183),ISNUMBER(G183)),IF(ABS(F183)&lt;=G183,"PASS","FAIL"),"UNVERIFIED"))</f>
        <v>PASS</v>
      </c>
      <c r="I183" s="18" t="s">
        <v>994</v>
      </c>
    </row>
    <row r="184" spans="1:9" ht="25.5" x14ac:dyDescent="0.45">
      <c r="A184" s="5" t="s">
        <v>995</v>
      </c>
      <c r="B184" s="5" t="s">
        <v>993</v>
      </c>
      <c r="C184" s="5" t="s">
        <v>996</v>
      </c>
      <c r="D184" s="16">
        <f>--AND(Sensitivity!D8&lt;Sensitivity!E8,Sensitivity!E8&lt;Sensitivity!F8,Sensitivity!F8&lt;Sensitivity!G8,Sensitivity!G8&lt;Sensitivity!H8)</f>
        <v>1</v>
      </c>
      <c r="E184" s="5">
        <v>1</v>
      </c>
      <c r="F184" s="16">
        <f t="shared" ref="F184:F199" si="11">D184-E184</f>
        <v>0</v>
      </c>
      <c r="G184" s="5">
        <v>0</v>
      </c>
      <c r="H184" s="16" t="str">
        <f>IF(AND(ISNUMBER(D184),ISNUMBER(E184)),IF(D184=E184,"PASS","INPUT WARNING"),"UNVERIFIED")</f>
        <v>PASS</v>
      </c>
      <c r="I184" s="18" t="s">
        <v>997</v>
      </c>
    </row>
    <row r="185" spans="1:9" ht="25.5" x14ac:dyDescent="0.45">
      <c r="A185" s="5" t="s">
        <v>998</v>
      </c>
      <c r="B185" s="5" t="s">
        <v>993</v>
      </c>
      <c r="C185" s="5" t="s">
        <v>996</v>
      </c>
      <c r="D185" s="16">
        <f>--AND(Sensitivity!C9&lt;Sensitivity!C10,Sensitivity!C10&lt;Sensitivity!C11,Sensitivity!C11&lt;Sensitivity!C12,Sensitivity!C12&lt;Sensitivity!C13)</f>
        <v>1</v>
      </c>
      <c r="E185" s="5">
        <v>1</v>
      </c>
      <c r="F185" s="16">
        <f t="shared" si="11"/>
        <v>0</v>
      </c>
      <c r="G185" s="5">
        <v>0</v>
      </c>
      <c r="H185" s="16" t="str">
        <f>IF(AND(ISNUMBER(D185),ISNUMBER(E185)),IF(D185=E185,"PASS","INPUT WARNING"),"UNVERIFIED")</f>
        <v>PASS</v>
      </c>
      <c r="I185" s="18" t="s">
        <v>999</v>
      </c>
    </row>
    <row r="186" spans="1:9" x14ac:dyDescent="0.45">
      <c r="A186" s="5" t="s">
        <v>1000</v>
      </c>
      <c r="B186" s="5" t="s">
        <v>993</v>
      </c>
      <c r="C186" s="5" t="s">
        <v>892</v>
      </c>
      <c r="D186" s="16">
        <f>--AND(Sensitivity!D9&lt;Sensitivity!E9,Sensitivity!E9&lt;Sensitivity!F9,Sensitivity!F9&lt;Sensitivity!G9,Sensitivity!G9&lt;Sensitivity!H9)</f>
        <v>1</v>
      </c>
      <c r="E186" s="5">
        <v>1</v>
      </c>
      <c r="F186" s="16">
        <f t="shared" si="11"/>
        <v>0</v>
      </c>
      <c r="G186" s="5">
        <v>0</v>
      </c>
      <c r="H186" s="16" t="str">
        <f>IF(NOT(AND(Sensitivity!$D$8&lt;Sensitivity!$E$8,Sensitivity!$E$8&lt;Sensitivity!$F$8,Sensitivity!$F$8&lt;Sensitivity!$G$8,Sensitivity!$G$8&lt;Sensitivity!$H$8)),"NOT APPLICABLE — DUPLICATE OR UNORDERED COORDINATES",IF(AND(ISNUMBER(D186),ISNUMBER(E186)),IF(D186=E186,"PASS","FAIL"),"UNVERIFIED"))</f>
        <v>PASS</v>
      </c>
      <c r="I186" s="18" t="s">
        <v>1001</v>
      </c>
    </row>
    <row r="187" spans="1:9" x14ac:dyDescent="0.45">
      <c r="A187" s="5" t="s">
        <v>1002</v>
      </c>
      <c r="B187" s="5" t="s">
        <v>993</v>
      </c>
      <c r="C187" s="5" t="s">
        <v>892</v>
      </c>
      <c r="D187" s="16">
        <f>--AND(Sensitivity!D10&lt;Sensitivity!E10,Sensitivity!E10&lt;Sensitivity!F10,Sensitivity!F10&lt;Sensitivity!G10,Sensitivity!G10&lt;Sensitivity!H10)</f>
        <v>1</v>
      </c>
      <c r="E187" s="5">
        <v>1</v>
      </c>
      <c r="F187" s="16">
        <f t="shared" si="11"/>
        <v>0</v>
      </c>
      <c r="G187" s="5">
        <v>0</v>
      </c>
      <c r="H187" s="16" t="str">
        <f>IF(NOT(AND(Sensitivity!$D$8&lt;Sensitivity!$E$8,Sensitivity!$E$8&lt;Sensitivity!$F$8,Sensitivity!$F$8&lt;Sensitivity!$G$8,Sensitivity!$G$8&lt;Sensitivity!$H$8)),"NOT APPLICABLE — DUPLICATE OR UNORDERED COORDINATES",IF(AND(ISNUMBER(D187),ISNUMBER(E187)),IF(D187=E187,"PASS","FAIL"),"UNVERIFIED"))</f>
        <v>PASS</v>
      </c>
      <c r="I187" s="18" t="s">
        <v>1003</v>
      </c>
    </row>
    <row r="188" spans="1:9" x14ac:dyDescent="0.45">
      <c r="A188" s="5" t="s">
        <v>1004</v>
      </c>
      <c r="B188" s="5" t="s">
        <v>993</v>
      </c>
      <c r="C188" s="5" t="s">
        <v>892</v>
      </c>
      <c r="D188" s="16">
        <f>--AND(Sensitivity!D11&lt;Sensitivity!E11,Sensitivity!E11&lt;Sensitivity!F11,Sensitivity!F11&lt;Sensitivity!G11,Sensitivity!G11&lt;Sensitivity!H11)</f>
        <v>1</v>
      </c>
      <c r="E188" s="5">
        <v>1</v>
      </c>
      <c r="F188" s="16">
        <f t="shared" si="11"/>
        <v>0</v>
      </c>
      <c r="G188" s="5">
        <v>0</v>
      </c>
      <c r="H188" s="16" t="str">
        <f>IF(NOT(AND(Sensitivity!$D$8&lt;Sensitivity!$E$8,Sensitivity!$E$8&lt;Sensitivity!$F$8,Sensitivity!$F$8&lt;Sensitivity!$G$8,Sensitivity!$G$8&lt;Sensitivity!$H$8)),"NOT APPLICABLE — DUPLICATE OR UNORDERED COORDINATES",IF(AND(ISNUMBER(D188),ISNUMBER(E188)),IF(D188=E188,"PASS","FAIL"),"UNVERIFIED"))</f>
        <v>PASS</v>
      </c>
      <c r="I188" s="18" t="s">
        <v>1005</v>
      </c>
    </row>
    <row r="189" spans="1:9" x14ac:dyDescent="0.45">
      <c r="A189" s="5" t="s">
        <v>1006</v>
      </c>
      <c r="B189" s="5" t="s">
        <v>993</v>
      </c>
      <c r="C189" s="5" t="s">
        <v>892</v>
      </c>
      <c r="D189" s="16">
        <f>--AND(Sensitivity!D12&lt;Sensitivity!E12,Sensitivity!E12&lt;Sensitivity!F12,Sensitivity!F12&lt;Sensitivity!G12,Sensitivity!G12&lt;Sensitivity!H12)</f>
        <v>1</v>
      </c>
      <c r="E189" s="5">
        <v>1</v>
      </c>
      <c r="F189" s="16">
        <f t="shared" si="11"/>
        <v>0</v>
      </c>
      <c r="G189" s="5">
        <v>0</v>
      </c>
      <c r="H189" s="16" t="str">
        <f>IF(NOT(AND(Sensitivity!$D$8&lt;Sensitivity!$E$8,Sensitivity!$E$8&lt;Sensitivity!$F$8,Sensitivity!$F$8&lt;Sensitivity!$G$8,Sensitivity!$G$8&lt;Sensitivity!$H$8)),"NOT APPLICABLE — DUPLICATE OR UNORDERED COORDINATES",IF(AND(ISNUMBER(D189),ISNUMBER(E189)),IF(D189=E189,"PASS","FAIL"),"UNVERIFIED"))</f>
        <v>PASS</v>
      </c>
      <c r="I189" s="18" t="s">
        <v>1007</v>
      </c>
    </row>
    <row r="190" spans="1:9" x14ac:dyDescent="0.45">
      <c r="A190" s="5" t="s">
        <v>1008</v>
      </c>
      <c r="B190" s="5" t="s">
        <v>993</v>
      </c>
      <c r="C190" s="5" t="s">
        <v>892</v>
      </c>
      <c r="D190" s="16">
        <f>--AND(Sensitivity!D13&lt;Sensitivity!E13,Sensitivity!E13&lt;Sensitivity!F13,Sensitivity!F13&lt;Sensitivity!G13,Sensitivity!G13&lt;Sensitivity!H13)</f>
        <v>1</v>
      </c>
      <c r="E190" s="5">
        <v>1</v>
      </c>
      <c r="F190" s="16">
        <f t="shared" si="11"/>
        <v>0</v>
      </c>
      <c r="G190" s="5">
        <v>0</v>
      </c>
      <c r="H190" s="16" t="str">
        <f>IF(NOT(AND(Sensitivity!$D$8&lt;Sensitivity!$E$8,Sensitivity!$E$8&lt;Sensitivity!$F$8,Sensitivity!$F$8&lt;Sensitivity!$G$8,Sensitivity!$G$8&lt;Sensitivity!$H$8)),"NOT APPLICABLE — DUPLICATE OR UNORDERED COORDINATES",IF(AND(ISNUMBER(D190),ISNUMBER(E190)),IF(D190=E190,"PASS","FAIL"),"UNVERIFIED"))</f>
        <v>PASS</v>
      </c>
      <c r="I190" s="18" t="s">
        <v>1009</v>
      </c>
    </row>
    <row r="191" spans="1:9" x14ac:dyDescent="0.45">
      <c r="A191" s="5" t="s">
        <v>1010</v>
      </c>
      <c r="B191" s="5" t="s">
        <v>993</v>
      </c>
      <c r="C191" s="5" t="s">
        <v>892</v>
      </c>
      <c r="D191" s="16">
        <f>--AND(Sensitivity!D9&gt;Sensitivity!D10,Sensitivity!D10&gt;Sensitivity!D11,Sensitivity!D11&gt;Sensitivity!D12,Sensitivity!D12&gt;Sensitivity!D13)</f>
        <v>1</v>
      </c>
      <c r="E191" s="5">
        <v>1</v>
      </c>
      <c r="F191" s="16">
        <f t="shared" si="11"/>
        <v>0</v>
      </c>
      <c r="G191" s="5">
        <v>0</v>
      </c>
      <c r="H191" s="16" t="str">
        <f>IF(NOT(AND(Sensitivity!$C$9&lt;Sensitivity!$C$10,Sensitivity!$C$10&lt;Sensitivity!$C$11,Sensitivity!$C$11&lt;Sensitivity!$C$12,Sensitivity!$C$12&lt;Sensitivity!$C$13)),"NOT APPLICABLE — DUPLICATE OR UNORDERED COORDINATES",IF(AND(ISNUMBER(D191),ISNUMBER(E191)),IF(D191=E191,"PASS","FAIL"),"UNVERIFIED"))</f>
        <v>PASS</v>
      </c>
      <c r="I191" s="18" t="s">
        <v>1011</v>
      </c>
    </row>
    <row r="192" spans="1:9" x14ac:dyDescent="0.45">
      <c r="A192" s="5" t="s">
        <v>1012</v>
      </c>
      <c r="B192" s="5" t="s">
        <v>993</v>
      </c>
      <c r="C192" s="5" t="s">
        <v>892</v>
      </c>
      <c r="D192" s="16">
        <f>--AND(Sensitivity!E9&gt;Sensitivity!E10,Sensitivity!E10&gt;Sensitivity!E11,Sensitivity!E11&gt;Sensitivity!E12,Sensitivity!E12&gt;Sensitivity!E13)</f>
        <v>1</v>
      </c>
      <c r="E192" s="5">
        <v>1</v>
      </c>
      <c r="F192" s="16">
        <f t="shared" si="11"/>
        <v>0</v>
      </c>
      <c r="G192" s="5">
        <v>0</v>
      </c>
      <c r="H192" s="16" t="str">
        <f>IF(NOT(AND(Sensitivity!$C$9&lt;Sensitivity!$C$10,Sensitivity!$C$10&lt;Sensitivity!$C$11,Sensitivity!$C$11&lt;Sensitivity!$C$12,Sensitivity!$C$12&lt;Sensitivity!$C$13)),"NOT APPLICABLE — DUPLICATE OR UNORDERED COORDINATES",IF(AND(ISNUMBER(D192),ISNUMBER(E192)),IF(D192=E192,"PASS","FAIL"),"UNVERIFIED"))</f>
        <v>PASS</v>
      </c>
      <c r="I192" s="18" t="s">
        <v>1013</v>
      </c>
    </row>
    <row r="193" spans="1:9" x14ac:dyDescent="0.45">
      <c r="A193" s="5" t="s">
        <v>1014</v>
      </c>
      <c r="B193" s="5" t="s">
        <v>993</v>
      </c>
      <c r="C193" s="5" t="s">
        <v>892</v>
      </c>
      <c r="D193" s="16">
        <f>--AND(Sensitivity!F9&gt;Sensitivity!F10,Sensitivity!F10&gt;Sensitivity!F11,Sensitivity!F11&gt;Sensitivity!F12,Sensitivity!F12&gt;Sensitivity!F13)</f>
        <v>1</v>
      </c>
      <c r="E193" s="5">
        <v>1</v>
      </c>
      <c r="F193" s="16">
        <f t="shared" si="11"/>
        <v>0</v>
      </c>
      <c r="G193" s="5">
        <v>0</v>
      </c>
      <c r="H193" s="16" t="str">
        <f>IF(NOT(AND(Sensitivity!$C$9&lt;Sensitivity!$C$10,Sensitivity!$C$10&lt;Sensitivity!$C$11,Sensitivity!$C$11&lt;Sensitivity!$C$12,Sensitivity!$C$12&lt;Sensitivity!$C$13)),"NOT APPLICABLE — DUPLICATE OR UNORDERED COORDINATES",IF(AND(ISNUMBER(D193),ISNUMBER(E193)),IF(D193=E193,"PASS","FAIL"),"UNVERIFIED"))</f>
        <v>PASS</v>
      </c>
      <c r="I193" s="18" t="s">
        <v>1015</v>
      </c>
    </row>
    <row r="194" spans="1:9" x14ac:dyDescent="0.45">
      <c r="A194" s="5" t="s">
        <v>1016</v>
      </c>
      <c r="B194" s="5" t="s">
        <v>993</v>
      </c>
      <c r="C194" s="5" t="s">
        <v>892</v>
      </c>
      <c r="D194" s="16">
        <f>--AND(Sensitivity!G9&gt;Sensitivity!G10,Sensitivity!G10&gt;Sensitivity!G11,Sensitivity!G11&gt;Sensitivity!G12,Sensitivity!G12&gt;Sensitivity!G13)</f>
        <v>1</v>
      </c>
      <c r="E194" s="5">
        <v>1</v>
      </c>
      <c r="F194" s="16">
        <f t="shared" si="11"/>
        <v>0</v>
      </c>
      <c r="G194" s="5">
        <v>0</v>
      </c>
      <c r="H194" s="16" t="str">
        <f>IF(NOT(AND(Sensitivity!$C$9&lt;Sensitivity!$C$10,Sensitivity!$C$10&lt;Sensitivity!$C$11,Sensitivity!$C$11&lt;Sensitivity!$C$12,Sensitivity!$C$12&lt;Sensitivity!$C$13)),"NOT APPLICABLE — DUPLICATE OR UNORDERED COORDINATES",IF(AND(ISNUMBER(D194),ISNUMBER(E194)),IF(D194=E194,"PASS","FAIL"),"UNVERIFIED"))</f>
        <v>PASS</v>
      </c>
      <c r="I194" s="18" t="s">
        <v>1017</v>
      </c>
    </row>
    <row r="195" spans="1:9" x14ac:dyDescent="0.45">
      <c r="A195" s="5" t="s">
        <v>1018</v>
      </c>
      <c r="B195" s="5" t="s">
        <v>993</v>
      </c>
      <c r="C195" s="5" t="s">
        <v>892</v>
      </c>
      <c r="D195" s="16">
        <f>--AND(Sensitivity!H9&gt;Sensitivity!H10,Sensitivity!H10&gt;Sensitivity!H11,Sensitivity!H11&gt;Sensitivity!H12,Sensitivity!H12&gt;Sensitivity!H13)</f>
        <v>1</v>
      </c>
      <c r="E195" s="5">
        <v>1</v>
      </c>
      <c r="F195" s="16">
        <f t="shared" si="11"/>
        <v>0</v>
      </c>
      <c r="G195" s="5">
        <v>0</v>
      </c>
      <c r="H195" s="16" t="str">
        <f>IF(NOT(AND(Sensitivity!$C$9&lt;Sensitivity!$C$10,Sensitivity!$C$10&lt;Sensitivity!$C$11,Sensitivity!$C$11&lt;Sensitivity!$C$12,Sensitivity!$C$12&lt;Sensitivity!$C$13)),"NOT APPLICABLE — DUPLICATE OR UNORDERED COORDINATES",IF(AND(ISNUMBER(D195),ISNUMBER(E195)),IF(D195=E195,"PASS","FAIL"),"UNVERIFIED"))</f>
        <v>PASS</v>
      </c>
      <c r="I195" s="18" t="s">
        <v>1019</v>
      </c>
    </row>
    <row r="196" spans="1:9" x14ac:dyDescent="0.45">
      <c r="A196" s="5" t="s">
        <v>1020</v>
      </c>
      <c r="B196" s="5" t="s">
        <v>608</v>
      </c>
      <c r="C196" s="5" t="s">
        <v>1021</v>
      </c>
      <c r="D196" s="16">
        <f>SUMPRODUCT(--ISERROR(Scenarios!D9:I75))+SUMPRODUCT(--ISERROR(WACC!E9:E36))+SUMPRODUCT(--ISERROR(WACC!J9:J36))+SUMPRODUCT(--ISERROR(DCF!D12:N71))+SUMPRODUCT(--ISERROR(Sensitivity!C8:H30))</f>
        <v>0</v>
      </c>
      <c r="E196" s="5">
        <v>0</v>
      </c>
      <c r="F196" s="16">
        <f t="shared" si="11"/>
        <v>0</v>
      </c>
      <c r="G196" s="5">
        <v>0</v>
      </c>
      <c r="H196" s="16" t="str">
        <f>IF(AND(ISNUMBER(D196),ISNUMBER(E196),ISNUMBER(F196),ISNUMBER(G196)),IF(ABS(F196)&lt;=G196,"PASS","FAIL"),"UNVERIFIED")</f>
        <v>PASS</v>
      </c>
      <c r="I196" s="18" t="s">
        <v>1022</v>
      </c>
    </row>
    <row r="197" spans="1:9" x14ac:dyDescent="0.45">
      <c r="A197" s="5" t="s">
        <v>1023</v>
      </c>
      <c r="B197" s="5" t="s">
        <v>623</v>
      </c>
      <c r="C197" s="5" t="s">
        <v>1024</v>
      </c>
      <c r="D197" s="5">
        <v>0</v>
      </c>
      <c r="E197" s="5">
        <v>0</v>
      </c>
      <c r="F197" s="16">
        <f t="shared" si="11"/>
        <v>0</v>
      </c>
      <c r="G197" s="5">
        <v>0</v>
      </c>
      <c r="H197" s="16" t="str">
        <f>IF(AND(ISNUMBER(D197),ISNUMBER(E197),ISNUMBER(F197),ISNUMBER(G197)),IF(ABS(F197)&lt;=G197,"PASS","FAIL"),"UNVERIFIED")</f>
        <v>PASS</v>
      </c>
      <c r="I197" s="18" t="s">
        <v>1025</v>
      </c>
    </row>
    <row r="198" spans="1:9" x14ac:dyDescent="0.45">
      <c r="A198" s="5" t="s">
        <v>1026</v>
      </c>
      <c r="B198" s="5" t="s">
        <v>623</v>
      </c>
      <c r="C198" s="5" t="s">
        <v>1024</v>
      </c>
      <c r="D198" s="5">
        <v>0</v>
      </c>
      <c r="E198" s="5">
        <v>0</v>
      </c>
      <c r="F198" s="16">
        <f t="shared" si="11"/>
        <v>0</v>
      </c>
      <c r="G198" s="5">
        <v>0</v>
      </c>
      <c r="H198" s="16" t="str">
        <f>IF(AND(ISNUMBER(D198),ISNUMBER(E198),ISNUMBER(F198),ISNUMBER(G198)),IF(ABS(F198)&lt;=G198,"PASS","FAIL"),"UNVERIFIED")</f>
        <v>PASS</v>
      </c>
      <c r="I198" s="18" t="s">
        <v>1025</v>
      </c>
    </row>
    <row r="199" spans="1:9" x14ac:dyDescent="0.45">
      <c r="A199" s="5" t="s">
        <v>1027</v>
      </c>
      <c r="B199" s="5" t="s">
        <v>623</v>
      </c>
      <c r="C199" s="5" t="s">
        <v>1024</v>
      </c>
      <c r="D199" s="5">
        <v>0</v>
      </c>
      <c r="E199" s="5">
        <v>0</v>
      </c>
      <c r="F199" s="16">
        <f t="shared" si="11"/>
        <v>0</v>
      </c>
      <c r="G199" s="5">
        <v>0</v>
      </c>
      <c r="H199" s="16" t="str">
        <f>IF(AND(ISNUMBER(D199),ISNUMBER(E199),ISNUMBER(F199),ISNUMBER(G199)),IF(ABS(F199)&lt;=G199,"PASS","FAIL"),"UNVERIFIED")</f>
        <v>PASS</v>
      </c>
      <c r="I199" s="18" t="s">
        <v>1025</v>
      </c>
    </row>
    <row r="200" spans="1:9" ht="25.5" x14ac:dyDescent="0.45">
      <c r="A200" s="5" t="s">
        <v>1028</v>
      </c>
      <c r="B200" s="5" t="s">
        <v>1029</v>
      </c>
      <c r="C200" s="5" t="s">
        <v>1030</v>
      </c>
      <c r="D200" s="23">
        <f>DCF!L29</f>
        <v>0.76742292451039695</v>
      </c>
      <c r="E200" s="18" t="s">
        <v>1031</v>
      </c>
      <c r="F200" s="5"/>
      <c r="G200" s="5"/>
      <c r="H200" s="30" t="str">
        <f>IF(D200&gt;0.8,"STRONG WARNING",IF(D200&gt;0.75,"WARNING","PASS"))</f>
        <v>WARNING</v>
      </c>
      <c r="I200" s="18" t="s">
        <v>1032</v>
      </c>
    </row>
    <row r="201" spans="1:9" ht="25.5" x14ac:dyDescent="0.45">
      <c r="A201" s="5" t="s">
        <v>1033</v>
      </c>
      <c r="B201" s="5" t="s">
        <v>1029</v>
      </c>
      <c r="C201" s="5" t="s">
        <v>1034</v>
      </c>
      <c r="D201" s="23">
        <f>DCF!M29</f>
        <v>0.78207976009134761</v>
      </c>
      <c r="E201" s="18" t="s">
        <v>1031</v>
      </c>
      <c r="F201" s="5"/>
      <c r="G201" s="5"/>
      <c r="H201" s="30" t="str">
        <f>IF(D201&gt;0.8,"STRONG WARNING",IF(D201&gt;0.75,"WARNING","PASS"))</f>
        <v>WARNING</v>
      </c>
      <c r="I201" s="18" t="s">
        <v>1032</v>
      </c>
    </row>
    <row r="202" spans="1:9" ht="25.5" x14ac:dyDescent="0.45">
      <c r="A202" s="5" t="s">
        <v>1035</v>
      </c>
      <c r="B202" s="5" t="s">
        <v>1029</v>
      </c>
      <c r="C202" s="5" t="s">
        <v>1036</v>
      </c>
      <c r="D202" s="23">
        <f>DCF!N29</f>
        <v>0.79104316672131514</v>
      </c>
      <c r="E202" s="18" t="s">
        <v>1031</v>
      </c>
      <c r="F202" s="5"/>
      <c r="G202" s="5"/>
      <c r="H202" s="30" t="str">
        <f>IF(D202&gt;0.8,"STRONG WARNING",IF(D202&gt;0.75,"WARNING","PASS"))</f>
        <v>WARNING</v>
      </c>
      <c r="I202" s="18" t="s">
        <v>1032</v>
      </c>
    </row>
  </sheetData>
  <conditionalFormatting sqref="H9:H202">
    <cfRule type="containsText" dxfId="5" priority="1" operator="containsText" text="FAIL">
      <formula>NOT(ISERROR(SEARCH("FAIL",H9)))</formula>
    </cfRule>
    <cfRule type="containsText" dxfId="4" priority="2" operator="containsText" text="DIFFERS">
      <formula>NOT(ISERROR(SEARCH("DIFFERS",H9)))</formula>
    </cfRule>
    <cfRule type="containsText" dxfId="3" priority="3" operator="containsText" text="NOT APPLICABLE">
      <formula>NOT(ISERROR(SEARCH("NOT APPLICABLE",H9)))</formula>
    </cfRule>
    <cfRule type="containsText" dxfId="2" priority="4" operator="containsText" text="UNVERIFIED">
      <formula>NOT(ISERROR(SEARCH("UNVERIFIED",H9)))</formula>
    </cfRule>
    <cfRule type="containsText" dxfId="1" priority="5" operator="containsText" text="WARNING">
      <formula>NOT(ISERROR(SEARCH("WARNING",H9)))</formula>
    </cfRule>
    <cfRule type="containsText" dxfId="0" priority="6" operator="containsText" text="PASS">
      <formula>NOT(ISERROR(SEARCH("PASS",H9)))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36</vt:i4>
      </vt:variant>
    </vt:vector>
  </HeadingPairs>
  <TitlesOfParts>
    <vt:vector size="44" baseType="lpstr">
      <vt:lpstr>Cover</vt:lpstr>
      <vt:lpstr>Sources</vt:lpstr>
      <vt:lpstr>Historical</vt:lpstr>
      <vt:lpstr>Scenarios</vt:lpstr>
      <vt:lpstr>WACC</vt:lpstr>
      <vt:lpstr>DCF</vt:lpstr>
      <vt:lpstr>Sensitivity</vt:lpstr>
      <vt:lpstr>Checks</vt:lpstr>
      <vt:lpstr>ApprovedSnapshotStatus</vt:lpstr>
      <vt:lpstr>BaseValuePerShare</vt:lpstr>
      <vt:lpstr>BasicShares</vt:lpstr>
      <vt:lpstr>BearValuePerShare</vt:lpstr>
      <vt:lpstr>BullValuePerShare</vt:lpstr>
      <vt:lpstr>CalculatedWACC</vt:lpstr>
      <vt:lpstr>CarryingDebt</vt:lpstr>
      <vt:lpstr>CarryingDebtWACC</vt:lpstr>
      <vt:lpstr>CashAndShortTermInvestments</vt:lpstr>
      <vt:lpstr>ClassAShares</vt:lpstr>
      <vt:lpstr>ClassBShares</vt:lpstr>
      <vt:lpstr>DebtDefaultSpread</vt:lpstr>
      <vt:lpstr>DilutedProxyShares</vt:lpstr>
      <vt:lpstr>EquityRiskPremium</vt:lpstr>
      <vt:lpstr>FairValueDebt</vt:lpstr>
      <vt:lpstr>IncrementalDilutiveShares</vt:lpstr>
      <vt:lpstr>InformationCutoff</vt:lpstr>
      <vt:lpstr>MechanicalIntegrityStatus</vt:lpstr>
      <vt:lpstr>ModelDate</vt:lpstr>
      <vt:lpstr>ModelStatus</vt:lpstr>
      <vt:lpstr>OperatingLeaseLiabilitiesMemo</vt:lpstr>
      <vt:lpstr>OperatingTaxRate</vt:lpstr>
      <vt:lpstr>PackageBuildControlStatus</vt:lpstr>
      <vt:lpstr>RedeemablePreferredStock</vt:lpstr>
      <vt:lpstr>ReferenceMarketDate</vt:lpstr>
      <vt:lpstr>ReferenceMarketPrice</vt:lpstr>
      <vt:lpstr>RiskFreeRate</vt:lpstr>
      <vt:lpstr>ScenarioList</vt:lpstr>
      <vt:lpstr>SelectedEnterpriseValue</vt:lpstr>
      <vt:lpstr>SelectedEquityValue</vt:lpstr>
      <vt:lpstr>SelectedScenario</vt:lpstr>
      <vt:lpstr>SelectedTerminalValueShare</vt:lpstr>
      <vt:lpstr>SelectedValuePerShare</vt:lpstr>
      <vt:lpstr>SensitivityCenter</vt:lpstr>
      <vt:lpstr>TerminalGrowth</vt:lpstr>
      <vt:lpstr>WarningStatus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Nike valuation model</dc:title>
  <dc:subject>Formula-driven DCF translation of approved Phase 5A methodology</dc:subject>
  <dc:creator>Independent portfolio project</dc:creator>
  <dc:description>Independent portfolio analysis; not an investment recommendation.</dc:description>
  <cp:lastModifiedBy>Independent portfolio project</cp:lastModifiedBy>
  <dcterms:created xsi:type="dcterms:W3CDTF">2026-05-31T00:00:00Z</dcterms:created>
  <dcterms:modified xsi:type="dcterms:W3CDTF">2026-05-31T00:00:00Z</dcterms:modified>
</cp:coreProperties>
</file>